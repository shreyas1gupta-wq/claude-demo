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Monthly Matrix" sheetId="3" state="visible" r:id="rId3"/>
    <sheet xmlns:r="http://schemas.openxmlformats.org/officeDocument/2006/relationships" name="Calendar Years" sheetId="4" state="visible" r:id="rId4"/>
    <sheet xmlns:r="http://schemas.openxmlformats.org/officeDocument/2006/relationships" name="Statistics" sheetId="5" state="visible" r:id="rId5"/>
    <sheet xmlns:r="http://schemas.openxmlformats.org/officeDocument/2006/relationships" name="Drawdowns" sheetId="6" state="visible" r:id="rId6"/>
    <sheet xmlns:r="http://schemas.openxmlformats.org/officeDocument/2006/relationships" name="Best Worst" sheetId="7" state="visible" r:id="rId7"/>
    <sheet xmlns:r="http://schemas.openxmlformats.org/officeDocument/2006/relationships" name="Quadrants" sheetId="8" state="visible" r:id="rId8"/>
    <sheet xmlns:r="http://schemas.openxmlformats.org/officeDocument/2006/relationships" name="Grow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%;-0.00%;&quot;-&quot;"/>
    <numFmt numFmtId="165" formatCode="&quot;$&quot;#,##0"/>
    <numFmt numFmtId="166" formatCode="0.00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9C6F12"/>
      <sz val="10"/>
    </font>
    <font>
      <name val="Arial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164" fontId="6" fillId="0" borderId="0" pivotButton="0" quotePrefix="0" xfId="0"/>
    <xf numFmtId="166" fontId="1" fillId="0" borderId="0" pivotButton="0" quotePrefix="0" xfId="0"/>
    <xf numFmtId="166" fontId="2" fillId="0" borderId="0" pivotButton="0" quotePrefix="0" xfId="0"/>
    <xf numFmtId="166" fontId="6" fillId="0" borderId="0" pivotButton="0" quotePrefix="0" xfId="0"/>
    <xf numFmtId="167" fontId="1" fillId="0" borderId="0" pivotButton="0" quotePrefix="0" xfId="0"/>
    <xf numFmtId="167" fontId="2" fillId="0" borderId="0" pivotButton="0" quotePrefix="0" xfId="0"/>
    <xf numFmtId="167" fontId="6" fillId="0" borderId="0" pivotButton="0" quotePrefix="0" xfId="0"/>
    <xf numFmtId="165" fontId="1" fillId="0" borderId="0" pivotButton="0" quotePrefix="0" xfId="0"/>
    <xf numFmtId="165" fontId="6" fillId="0" borderId="0" pivotButton="0" quotePrefix="0" xfId="0"/>
    <xf numFmtId="1" fontId="1" fillId="0" borderId="0" pivotButton="0" quotePrefix="0" xfId="0"/>
    <xf numFmtId="1" fontId="2" fillId="0" borderId="0" pivotButton="0" quotePrefix="0" xfId="0"/>
    <xf numFmtId="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Growth of $1,000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'Growth'!B1</f>
            </strRef>
          </tx>
          <spPr>
            <a:ln xmlns:a="http://schemas.openxmlformats.org/drawingml/2006/main" w="20000">
              <a:solidFill>
                <a:srgbClr val="274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'Growth'!$A$2:$A$169</f>
            </numRef>
          </cat>
          <val>
            <numRef>
              <f>'Growth'!$B$2:$B$169</f>
            </numRef>
          </val>
          <smooth val="0"/>
        </ser>
        <ser>
          <idx val="1"/>
          <order val="1"/>
          <tx>
            <strRef>
              <f>'Growth'!C1</f>
            </strRef>
          </tx>
          <spPr>
            <a:ln xmlns:a="http://schemas.openxmlformats.org/drawingml/2006/main" w="20000">
              <a:solidFill>
                <a:srgbClr val="B786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'Growth'!$A$2:$A$169</f>
            </numRef>
          </cat>
          <val>
            <numRef>
              <f>'Growth'!$C$2:$C$169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numFmt formatCode="@" sourceLinked="0"/>
        <majorTickMark val="none"/>
        <minorTickMark val="none"/>
        <crossAx val="100"/>
        <lblOffset val="100"/>
        <tickLblSkip val="12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from prior peak</a:t>
            </a:r>
          </a:p>
        </rich>
      </tx>
    </title>
    <plotArea>
      <lineChart>
        <grouping val="standard"/>
        <ser>
          <idx val="0"/>
          <order val="0"/>
          <tx>
            <strRef>
              <f>'Growth'!D1</f>
            </strRef>
          </tx>
          <spPr>
            <a:ln xmlns:a="http://schemas.openxmlformats.org/drawingml/2006/main" w="20000">
              <a:solidFill>
                <a:srgbClr val="274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'Growth'!$A$2:$A$169</f>
            </numRef>
          </cat>
          <val>
            <numRef>
              <f>'Growth'!$D$2:$D$169</f>
            </numRef>
          </val>
          <smooth val="0"/>
        </ser>
        <ser>
          <idx val="1"/>
          <order val="1"/>
          <tx>
            <strRef>
              <f>'Growth'!E1</f>
            </strRef>
          </tx>
          <spPr>
            <a:ln xmlns:a="http://schemas.openxmlformats.org/drawingml/2006/main" w="20000">
              <a:solidFill>
                <a:srgbClr val="B786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'Growth'!$A$2:$A$169</f>
            </numRef>
          </cat>
          <val>
            <numRef>
              <f>'Growth'!$E$2:$E$169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25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Demeter Tactical Investments - Dual-Engine Quantitative Equity Strategy (Share Class B)</t>
        </is>
      </c>
    </row>
    <row r="2">
      <c r="A2" s="2" t="inlineStr">
        <is>
          <t>Data: 168 published monthly returns, 2012-07 to 2026-06, for the strategy and SPY (SPDR S&amp;P 500 ETF Trust, total return).</t>
        </is>
      </c>
    </row>
    <row r="3">
      <c r="A3" s="2" t="inlineStr">
        <is>
          <t>Source: Demeter factsheet tables, transcribed by Ionic Wealth research. Compounding the transcribed months reproduces every published YTD within 0.02 pp.</t>
        </is>
      </c>
    </row>
    <row r="4">
      <c r="A4" s="1" t="inlineStr">
        <is>
          <t>Sheets:</t>
        </is>
      </c>
    </row>
    <row r="5">
      <c r="A5" s="2" t="inlineStr">
        <is>
          <t xml:space="preserve">  Monthly Returns  - long format, one row per month (percent as fractions, e.g. 0.0467 = 4.67%).</t>
        </is>
      </c>
    </row>
    <row r="6">
      <c r="A6" s="2" t="inlineStr">
        <is>
          <t xml:space="preserve">  Monthly Matrix   - year x month grid with the compounded year alongside the published figure.</t>
        </is>
      </c>
    </row>
    <row r="7">
      <c r="A7" s="2" t="inlineStr">
        <is>
          <t xml:space="preserve">  Calendar Years   - strategy vs SPY per year with excess return.</t>
        </is>
      </c>
    </row>
    <row r="8">
      <c r="A8" s="2" t="inlineStr">
        <is>
          <t xml:space="preserve">  Statistics       - the factsheet's four windows plus the two live periods, recomputed with the factsheet's conventions.</t>
        </is>
      </c>
    </row>
    <row r="9">
      <c r="A9" s="2" t="inlineStr">
        <is>
          <t xml:space="preserve">  Drawdowns        - five largest peak-to-trough episodes per series.</t>
        </is>
      </c>
    </row>
    <row r="10">
      <c r="A10" s="2" t="inlineStr">
        <is>
          <t xml:space="preserve">  Best Worst       - ten best/worst months per series with the other series alongside.</t>
        </is>
      </c>
    </row>
    <row r="11">
      <c r="A11" s="2" t="inlineStr">
        <is>
          <t xml:space="preserve">  Quadrants        - Demeter's four-quadrant daily framework as published (note the 3,219 vs 3,477 day discrepancy).</t>
        </is>
      </c>
    </row>
    <row r="12">
      <c r="A12" s="2" t="inlineStr">
        <is>
          <t xml:space="preserve">  Growth           - growth of $1,000 and drawdowns by month, with a line chart.</t>
        </is>
      </c>
    </row>
    <row r="13">
      <c r="A13" s="1" t="inlineStr">
        <is>
          <t>Conventions (from analytics.json meta.definitions):</t>
        </is>
      </c>
    </row>
    <row r="14">
      <c r="A14" s="3" t="inlineStr">
        <is>
          <t xml:space="preserve">  total_growth_pct: prod(1+r) - 1, in percent.</t>
        </is>
      </c>
    </row>
    <row r="15">
      <c r="A15" s="3" t="inlineStr">
        <is>
          <t xml:space="preserve">  annualized_return_pct: geometric: (1+total_growth)^(12/n) - 1.</t>
        </is>
      </c>
    </row>
    <row r="16">
      <c r="A16" s="3" t="inlineStr">
        <is>
          <t xml:space="preserve">  annualized_std_dev: POPULATION std (ddof=0) of monthly returns x sqrt(12), as a decimal. The factsheet's four windows round to the population figure; the sample (ddof=1) figure is off by 0.001-0.006 and is reported under alt_definitions.</t>
        </is>
      </c>
    </row>
    <row r="17">
      <c r="A17" s="3" t="inlineStr">
        <is>
          <t xml:space="preserve">  max_drawdown_pct: minimum of index/running-peak - 1 on the monthly cumulative index; the running peak includes the level at the start of the window (=1.0).</t>
        </is>
      </c>
    </row>
    <row r="18">
      <c r="A18" s="3" t="inlineStr">
        <is>
          <t xml:space="preserve">  sharpe: mean(monthly excess over cash) x 12 / (population std of monthly excess x sqrt(12)), cash = TB3MS_pct/100/12 (factsheet footnote). Sample-std and raw-return-std variants are in alt_definitions; the population-std-of-excess form is used because it matches the table's own std-dev convention and reconciles all eight Sharpes within 0.011.</t>
        </is>
      </c>
    </row>
    <row r="19">
      <c r="A19" s="3" t="inlineStr">
        <is>
          <t xml:space="preserve">  sortino: annualised geometric return / (sqrt(mean(min(r,0)^2)) x sqrt(12)). Target = 0 and no cash term. This is the only form that reproduces the stated Sortinos (all eight within 0.003); the textbook excess-return form gives values 15-40% lower (alt_definitions).</t>
        </is>
      </c>
    </row>
    <row r="20">
      <c r="A20" s="3" t="inlineStr">
        <is>
          <t xml:space="preserve">  calmar: annualised return / |max drawdown|.</t>
        </is>
      </c>
    </row>
    <row r="21">
      <c r="A21" s="3" t="inlineStr">
        <is>
          <t xml:space="preserve">  beta_to_spy: cov(r, spy) / var(spy) on monthly returns (population moments; ddof cancels).</t>
        </is>
      </c>
    </row>
    <row r="22">
      <c r="A22" s="3" t="inlineStr">
        <is>
          <t xml:space="preserve">  correlation_to_spy: Pearson correlation of monthly returns.</t>
        </is>
      </c>
    </row>
    <row r="23">
      <c r="A23" s="3" t="inlineStr">
        <is>
          <t xml:space="preserve">  alpha_ann_jensen_pct: (mean(r) - beta x mean(spy)) x 12 = OLS intercept x 12, i.e. Jensen alpha with the cash term dropped. Matches the table within 0.01pp; the textbook form (mean(r-cash) - beta x mean(spy-cash)) x 12 is 0.4-1.1pp lower and is reported under alt_definitions.</t>
        </is>
      </c>
    </row>
    <row r="24">
      <c r="A24" s="3" t="inlineStr">
        <is>
          <t xml:space="preserve">  up_capture_pct: [(prod(1+r_up))^(12/n_up) - 1] / [(prod(1+spy_up))^(12/n_up) - 1] x 100 over SPY-up months (annualised compounded capture). Geometric-mean and arithmetic-mean captures (alt_definitions) miss the table by 1-13pp.</t>
        </is>
      </c>
    </row>
    <row r="25">
      <c r="A25" s="3" t="inlineStr">
        <is>
          <t xml:space="preserve">  down_capture_pct: same as up capture over SPY-down months.</t>
        </is>
      </c>
    </row>
    <row r="26">
      <c r="A26" s="3" t="inlineStr">
        <is>
          <t xml:space="preserve">  growth_of_1000: 1000 x prod(1+r).</t>
        </is>
      </c>
    </row>
    <row r="27">
      <c r="A27" s="3" t="inlineStr">
        <is>
          <t xml:space="preserve">  pct_positive_months: share of months with r &gt; 0, in percent.</t>
        </is>
      </c>
    </row>
    <row r="28">
      <c r="A28" s="3" t="inlineStr">
        <is>
          <t xml:space="preserve">  cash: monthly cash return = TB3MS_pct/100/12 with TB3MS_pct the calendar-month mean of the daily 3-month T-bill rate (see meta.tb3ms_source).</t>
        </is>
      </c>
    </row>
    <row r="29">
      <c r="A29" s="3" t="inlineStr">
        <is>
          <t xml:space="preserve">  drawdown_episode: peak = month-end at which the high-water mark was set (a month before the window start denotes the starting level); trough = lowest month-end; recovery = first month-end back at/above the peak, null if not yet recovered; length_months = peak to recovery (or to the last month if unrecovered).</t>
        </is>
      </c>
    </row>
    <row r="30">
      <c r="A30" s="3" t="inlineStr">
        <is>
          <t xml:space="preserve">  distribution_bins: left-closed, right-open intervals [a,b) over DIST_BIN_EDGES; the last bin is closed on both sides (numpy.histogram convention).</t>
        </is>
      </c>
    </row>
    <row r="31">
      <c r="A31" s="3" t="inlineStr">
        <is>
          <t>Risk-free rate: model/data/raw/steelcerberus_us_market_data.csv: 'Risk Free Rate' (3-month T-bill, percent, daily) averaged by calendar month as a proxy for FRED TB3MS (FRED not reachable). Daily data end 2025-12-19; 6 months (2026-01..2026-06) held flat at the 2025-12 value of 3.6007%. Monthly cash return = tb3ms_pct/100/12.</t>
        </is>
      </c>
    </row>
    <row r="32">
      <c r="A32" s="3" t="inlineStr">
        <is>
          <t>All cells are values computed by build_analytics.py / build_workbook.py (no live formulas), so the workbook opens with every number populated in any viewer.</t>
        </is>
      </c>
    </row>
    <row r="33">
      <c r="A33" s="3" t="inlineStr">
        <is>
          <t>Past performance is not indicative of future results. Leverage magnifies losses as well as gains.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9" customWidth="1" min="8" max="8"/>
    <col width="24" customWidth="1" min="9" max="9"/>
    <col width="24" customWidth="1" min="10" max="10"/>
  </cols>
  <sheetData>
    <row r="1">
      <c r="A1" s="4" t="inlineStr">
        <is>
          <t>Month</t>
        </is>
      </c>
      <c r="B1" s="4" t="inlineStr">
        <is>
          <t>Period</t>
        </is>
      </c>
      <c r="C1" s="4" t="inlineStr">
        <is>
          <t>Strategy</t>
        </is>
      </c>
      <c r="D1" s="4" t="inlineStr">
        <is>
          <t>SPY</t>
        </is>
      </c>
      <c r="E1" s="4" t="inlineStr">
        <is>
          <t>Excess vs SPY</t>
        </is>
      </c>
      <c r="F1" s="4" t="inlineStr">
        <is>
          <t>TB3MS (ann. %)</t>
        </is>
      </c>
      <c r="G1" s="4" t="inlineStr">
        <is>
          <t>Growth $1,000 Strategy</t>
        </is>
      </c>
      <c r="H1" s="4" t="inlineStr">
        <is>
          <t>Growth $1,000 SPY</t>
        </is>
      </c>
      <c r="I1" s="4" t="inlineStr">
        <is>
          <t>Drawdown Strategy</t>
        </is>
      </c>
      <c r="J1" s="4" t="inlineStr">
        <is>
          <t>Drawdown SPY</t>
        </is>
      </c>
    </row>
    <row r="2">
      <c r="A2" s="5" t="inlineStr">
        <is>
          <t>2012-07</t>
        </is>
      </c>
      <c r="B2" s="5" t="inlineStr">
        <is>
          <t>family_office</t>
        </is>
      </c>
      <c r="C2" s="6" t="n">
        <v>-0.0015</v>
      </c>
      <c r="D2" s="6" t="n">
        <v>0.0113</v>
      </c>
      <c r="E2" s="6" t="n">
        <v>-0.0128</v>
      </c>
      <c r="F2" s="7" t="n">
        <v>0.0009710000000000001</v>
      </c>
      <c r="G2" s="8" t="n">
        <v>998.5</v>
      </c>
      <c r="H2" s="8" t="n">
        <v>1011.3</v>
      </c>
      <c r="I2" s="6" t="n">
        <v>-0.0015</v>
      </c>
      <c r="J2" s="6" t="n">
        <v>0</v>
      </c>
    </row>
    <row r="3">
      <c r="A3" s="5" t="inlineStr">
        <is>
          <t>2012-08</t>
        </is>
      </c>
      <c r="B3" s="5" t="inlineStr">
        <is>
          <t>family_office</t>
        </is>
      </c>
      <c r="C3" s="6" t="n">
        <v>0.0673</v>
      </c>
      <c r="D3" s="6" t="n">
        <v>0.0224</v>
      </c>
      <c r="E3" s="6" t="n">
        <v>0.0449</v>
      </c>
      <c r="F3" s="7" t="n">
        <v>0.001026</v>
      </c>
      <c r="G3" s="8" t="n">
        <v>1065.69905</v>
      </c>
      <c r="H3" s="8" t="n">
        <v>1033.95312</v>
      </c>
      <c r="I3" s="6" t="n">
        <v>0</v>
      </c>
      <c r="J3" s="6" t="n">
        <v>0</v>
      </c>
    </row>
    <row r="4">
      <c r="A4" s="5" t="inlineStr">
        <is>
          <t>2012-09</t>
        </is>
      </c>
      <c r="B4" s="5" t="inlineStr">
        <is>
          <t>family_office</t>
        </is>
      </c>
      <c r="C4" s="6" t="n">
        <v>0.035</v>
      </c>
      <c r="D4" s="6" t="n">
        <v>0.0258</v>
      </c>
      <c r="E4" s="6" t="n">
        <v>0.0092</v>
      </c>
      <c r="F4" s="7" t="n">
        <v>0.001053</v>
      </c>
      <c r="G4" s="8" t="n">
        <v>1102.998517</v>
      </c>
      <c r="H4" s="8" t="n">
        <v>1060.62911</v>
      </c>
      <c r="I4" s="6" t="n">
        <v>0</v>
      </c>
      <c r="J4" s="6" t="n">
        <v>0</v>
      </c>
    </row>
    <row r="5">
      <c r="A5" s="5" t="inlineStr">
        <is>
          <t>2012-10</t>
        </is>
      </c>
      <c r="B5" s="5" t="inlineStr">
        <is>
          <t>family_office</t>
        </is>
      </c>
      <c r="C5" s="6" t="n">
        <v>-0.0127</v>
      </c>
      <c r="D5" s="6" t="n">
        <v>-0.0185</v>
      </c>
      <c r="E5" s="6" t="n">
        <v>0.0058</v>
      </c>
      <c r="F5" s="7" t="n">
        <v>0.001031</v>
      </c>
      <c r="G5" s="8" t="n">
        <v>1088.990436</v>
      </c>
      <c r="H5" s="8" t="n">
        <v>1041.007472</v>
      </c>
      <c r="I5" s="6" t="n">
        <v>-0.0127</v>
      </c>
      <c r="J5" s="6" t="n">
        <v>-0.0185</v>
      </c>
    </row>
    <row r="6">
      <c r="A6" s="5" t="inlineStr">
        <is>
          <t>2012-11</t>
        </is>
      </c>
      <c r="B6" s="5" t="inlineStr">
        <is>
          <t>family_office</t>
        </is>
      </c>
      <c r="C6" s="6" t="n">
        <v>-0.0231</v>
      </c>
      <c r="D6" s="6" t="n">
        <v>0.005699999999999999</v>
      </c>
      <c r="E6" s="6" t="n">
        <v>-0.0288</v>
      </c>
      <c r="F6" s="7" t="n">
        <v>0.0009379999999999999</v>
      </c>
      <c r="G6" s="8" t="n">
        <v>1063.834757</v>
      </c>
      <c r="H6" s="8" t="n">
        <v>1046.941215</v>
      </c>
      <c r="I6" s="6" t="n">
        <v>-0.03550663</v>
      </c>
      <c r="J6" s="6" t="n">
        <v>-0.01290545</v>
      </c>
    </row>
    <row r="7">
      <c r="A7" s="5" t="inlineStr">
        <is>
          <t>2012-12</t>
        </is>
      </c>
      <c r="B7" s="5" t="inlineStr">
        <is>
          <t>family_office</t>
        </is>
      </c>
      <c r="C7" s="6" t="n">
        <v>0.04190000000000001</v>
      </c>
      <c r="D7" s="6" t="n">
        <v>0.009000000000000001</v>
      </c>
      <c r="E7" s="6" t="n">
        <v>0.03290000000000001</v>
      </c>
      <c r="F7" s="7" t="n">
        <v>0.0007000000000000001</v>
      </c>
      <c r="G7" s="8" t="n">
        <v>1108.409433</v>
      </c>
      <c r="H7" s="8" t="n">
        <v>1056.363685</v>
      </c>
      <c r="I7" s="6" t="n">
        <v>0</v>
      </c>
      <c r="J7" s="6" t="n">
        <v>-0.0040216</v>
      </c>
    </row>
    <row r="8">
      <c r="A8" s="5" t="inlineStr">
        <is>
          <t>2013-01</t>
        </is>
      </c>
      <c r="B8" s="5" t="inlineStr">
        <is>
          <t>family_office</t>
        </is>
      </c>
      <c r="C8" s="6" t="n">
        <v>0.0016</v>
      </c>
      <c r="D8" s="6" t="n">
        <v>0.0517</v>
      </c>
      <c r="E8" s="6" t="n">
        <v>-0.0501</v>
      </c>
      <c r="F8" s="7" t="n">
        <v>0.0007430000000000001</v>
      </c>
      <c r="G8" s="8" t="n">
        <v>1110.182888</v>
      </c>
      <c r="H8" s="8" t="n">
        <v>1110.977688</v>
      </c>
      <c r="I8" s="6" t="n">
        <v>0</v>
      </c>
      <c r="J8" s="6" t="n">
        <v>0</v>
      </c>
    </row>
    <row r="9">
      <c r="A9" s="5" t="inlineStr">
        <is>
          <t>2013-02</t>
        </is>
      </c>
      <c r="B9" s="5" t="inlineStr">
        <is>
          <t>family_office</t>
        </is>
      </c>
      <c r="C9" s="6" t="n">
        <v>0.0467</v>
      </c>
      <c r="D9" s="6" t="n">
        <v>0.0135</v>
      </c>
      <c r="E9" s="6" t="n">
        <v>0.0332</v>
      </c>
      <c r="F9" s="7" t="n">
        <v>0.0009890000000000001</v>
      </c>
      <c r="G9" s="8" t="n">
        <v>1162.028429</v>
      </c>
      <c r="H9" s="8" t="n">
        <v>1125.975887</v>
      </c>
      <c r="I9" s="6" t="n">
        <v>0</v>
      </c>
      <c r="J9" s="6" t="n">
        <v>0</v>
      </c>
    </row>
    <row r="10">
      <c r="A10" s="5" t="inlineStr">
        <is>
          <t>2013-03</t>
        </is>
      </c>
      <c r="B10" s="5" t="inlineStr">
        <is>
          <t>family_office</t>
        </is>
      </c>
      <c r="C10" s="6" t="n">
        <v>0.0486</v>
      </c>
      <c r="D10" s="6" t="n">
        <v>0.0374</v>
      </c>
      <c r="E10" s="6" t="n">
        <v>0.0112</v>
      </c>
      <c r="F10" s="7" t="n">
        <v>0.0008699999999999999</v>
      </c>
      <c r="G10" s="8" t="n">
        <v>1218.50301</v>
      </c>
      <c r="H10" s="8" t="n">
        <v>1168.087385</v>
      </c>
      <c r="I10" s="6" t="n">
        <v>0</v>
      </c>
      <c r="J10" s="6" t="n">
        <v>0</v>
      </c>
    </row>
    <row r="11">
      <c r="A11" s="5" t="inlineStr">
        <is>
          <t>2013-04</t>
        </is>
      </c>
      <c r="B11" s="5" t="inlineStr">
        <is>
          <t>family_office</t>
        </is>
      </c>
      <c r="C11" s="6" t="n">
        <v>0.027</v>
      </c>
      <c r="D11" s="6" t="n">
        <v>0.0192</v>
      </c>
      <c r="E11" s="6" t="n">
        <v>0.007800000000000002</v>
      </c>
      <c r="F11" s="7" t="n">
        <v>0.0005999999999999999</v>
      </c>
      <c r="G11" s="8" t="n">
        <v>1251.402592</v>
      </c>
      <c r="H11" s="8" t="n">
        <v>1190.514663</v>
      </c>
      <c r="I11" s="6" t="n">
        <v>0</v>
      </c>
      <c r="J11" s="6" t="n">
        <v>0</v>
      </c>
    </row>
    <row r="12">
      <c r="A12" s="5" t="inlineStr">
        <is>
          <t>2013-05</t>
        </is>
      </c>
      <c r="B12" s="5" t="inlineStr">
        <is>
          <t>family_office</t>
        </is>
      </c>
      <c r="C12" s="6" t="n">
        <v>0.0353</v>
      </c>
      <c r="D12" s="6" t="n">
        <v>0.0233</v>
      </c>
      <c r="E12" s="6" t="n">
        <v>0.012</v>
      </c>
      <c r="F12" s="7" t="n">
        <v>0.000441</v>
      </c>
      <c r="G12" s="8" t="n">
        <v>1295.577103</v>
      </c>
      <c r="H12" s="8" t="n">
        <v>1218.253654</v>
      </c>
      <c r="I12" s="6" t="n">
        <v>0</v>
      </c>
      <c r="J12" s="6" t="n">
        <v>0</v>
      </c>
    </row>
    <row r="13">
      <c r="A13" s="5" t="inlineStr">
        <is>
          <t>2013-06</t>
        </is>
      </c>
      <c r="B13" s="5" t="inlineStr">
        <is>
          <t>family_office</t>
        </is>
      </c>
      <c r="C13" s="6" t="n">
        <v>-0.0353</v>
      </c>
      <c r="D13" s="6" t="n">
        <v>-0.0135</v>
      </c>
      <c r="E13" s="6" t="n">
        <v>-0.0218</v>
      </c>
      <c r="F13" s="7" t="n">
        <v>0.000505</v>
      </c>
      <c r="G13" s="8" t="n">
        <v>1249.843231</v>
      </c>
      <c r="H13" s="8" t="n">
        <v>1201.80723</v>
      </c>
      <c r="I13" s="6" t="n">
        <v>-0.0353</v>
      </c>
      <c r="J13" s="6" t="n">
        <v>-0.0135</v>
      </c>
    </row>
    <row r="14">
      <c r="A14" s="5" t="inlineStr">
        <is>
          <t>2013-07</t>
        </is>
      </c>
      <c r="B14" s="5" t="inlineStr">
        <is>
          <t>family_office</t>
        </is>
      </c>
      <c r="C14" s="6" t="n">
        <v>0.0571</v>
      </c>
      <c r="D14" s="6" t="n">
        <v>0.0508</v>
      </c>
      <c r="E14" s="6" t="n">
        <v>0.006299999999999999</v>
      </c>
      <c r="F14" s="7" t="n">
        <v>0.000355</v>
      </c>
      <c r="G14" s="8" t="n">
        <v>1321.20928</v>
      </c>
      <c r="H14" s="8" t="n">
        <v>1262.859037</v>
      </c>
      <c r="I14" s="6" t="n">
        <v>0</v>
      </c>
      <c r="J14" s="6" t="n">
        <v>0</v>
      </c>
    </row>
    <row r="15">
      <c r="A15" s="5" t="inlineStr">
        <is>
          <t>2013-08</t>
        </is>
      </c>
      <c r="B15" s="5" t="inlineStr">
        <is>
          <t>family_office</t>
        </is>
      </c>
      <c r="C15" s="6" t="n">
        <v>-0.009000000000000001</v>
      </c>
      <c r="D15" s="6" t="n">
        <v>-0.029</v>
      </c>
      <c r="E15" s="6" t="n">
        <v>0.02</v>
      </c>
      <c r="F15" s="7" t="n">
        <v>0.000436</v>
      </c>
      <c r="G15" s="8" t="n">
        <v>1309.318396</v>
      </c>
      <c r="H15" s="8" t="n">
        <v>1226.236125</v>
      </c>
      <c r="I15" s="6" t="n">
        <v>-0.009000000000000001</v>
      </c>
      <c r="J15" s="6" t="n">
        <v>-0.029</v>
      </c>
    </row>
    <row r="16">
      <c r="A16" s="5" t="inlineStr">
        <is>
          <t>2013-09</t>
        </is>
      </c>
      <c r="B16" s="5" t="inlineStr">
        <is>
          <t>family_office</t>
        </is>
      </c>
      <c r="C16" s="6" t="n">
        <v>0.014</v>
      </c>
      <c r="D16" s="6" t="n">
        <v>0.0313</v>
      </c>
      <c r="E16" s="6" t="n">
        <v>-0.0173</v>
      </c>
      <c r="F16" s="7" t="n">
        <v>0.00016</v>
      </c>
      <c r="G16" s="8" t="n">
        <v>1327.648854</v>
      </c>
      <c r="H16" s="8" t="n">
        <v>1264.617316</v>
      </c>
      <c r="I16" s="6" t="n">
        <v>0</v>
      </c>
      <c r="J16" s="6" t="n">
        <v>0</v>
      </c>
    </row>
    <row r="17">
      <c r="A17" s="5" t="inlineStr">
        <is>
          <t>2013-10</t>
        </is>
      </c>
      <c r="B17" s="5" t="inlineStr">
        <is>
          <t>family_office</t>
        </is>
      </c>
      <c r="C17" s="6" t="n">
        <v>0.0206</v>
      </c>
      <c r="D17" s="6" t="n">
        <v>0.0459</v>
      </c>
      <c r="E17" s="6" t="n">
        <v>-0.0253</v>
      </c>
      <c r="F17" s="7" t="n">
        <v>0.0005</v>
      </c>
      <c r="G17" s="8" t="n">
        <v>1354.99842</v>
      </c>
      <c r="H17" s="8" t="n">
        <v>1322.663251</v>
      </c>
      <c r="I17" s="6" t="n">
        <v>0</v>
      </c>
      <c r="J17" s="6" t="n">
        <v>0</v>
      </c>
    </row>
    <row r="18">
      <c r="A18" s="5" t="inlineStr">
        <is>
          <t>2013-11</t>
        </is>
      </c>
      <c r="B18" s="5" t="inlineStr">
        <is>
          <t>family_office</t>
        </is>
      </c>
      <c r="C18" s="6" t="n">
        <v>0.0493</v>
      </c>
      <c r="D18" s="6" t="n">
        <v>0.0304</v>
      </c>
      <c r="E18" s="6" t="n">
        <v>0.0189</v>
      </c>
      <c r="F18" s="7" t="n">
        <v>0.00068</v>
      </c>
      <c r="G18" s="8" t="n">
        <v>1421.799843</v>
      </c>
      <c r="H18" s="8" t="n">
        <v>1362.872214</v>
      </c>
      <c r="I18" s="6" t="n">
        <v>0</v>
      </c>
      <c r="J18" s="6" t="n">
        <v>0</v>
      </c>
    </row>
    <row r="19">
      <c r="A19" s="5" t="inlineStr">
        <is>
          <t>2013-12</t>
        </is>
      </c>
      <c r="B19" s="5" t="inlineStr">
        <is>
          <t>family_office</t>
        </is>
      </c>
      <c r="C19" s="6" t="n">
        <v>0.0337</v>
      </c>
      <c r="D19" s="6" t="n">
        <v>0.0252</v>
      </c>
      <c r="E19" s="6" t="n">
        <v>0.008500000000000001</v>
      </c>
      <c r="F19" s="7" t="n">
        <v>0.0006669999999999999</v>
      </c>
      <c r="G19" s="8" t="n">
        <v>1469.714497</v>
      </c>
      <c r="H19" s="8" t="n">
        <v>1397.216593</v>
      </c>
      <c r="I19" s="6" t="n">
        <v>0</v>
      </c>
      <c r="J19" s="6" t="n">
        <v>0</v>
      </c>
    </row>
    <row r="20">
      <c r="A20" s="5" t="inlineStr">
        <is>
          <t>2014-01</t>
        </is>
      </c>
      <c r="B20" s="5" t="inlineStr">
        <is>
          <t>family_office</t>
        </is>
      </c>
      <c r="C20" s="6" t="n">
        <v>0.0151</v>
      </c>
      <c r="D20" s="6" t="n">
        <v>-0.0346</v>
      </c>
      <c r="E20" s="6" t="n">
        <v>0.04969999999999999</v>
      </c>
      <c r="F20" s="7" t="n">
        <v>0.000433</v>
      </c>
      <c r="G20" s="8" t="n">
        <v>1491.907186</v>
      </c>
      <c r="H20" s="8" t="n">
        <v>1348.872899</v>
      </c>
      <c r="I20" s="6" t="n">
        <v>0</v>
      </c>
      <c r="J20" s="6" t="n">
        <v>-0.0346</v>
      </c>
    </row>
    <row r="21">
      <c r="A21" s="5" t="inlineStr">
        <is>
          <t>2014-02</t>
        </is>
      </c>
      <c r="B21" s="5" t="inlineStr">
        <is>
          <t>family_office</t>
        </is>
      </c>
      <c r="C21" s="6" t="n">
        <v>0.0336</v>
      </c>
      <c r="D21" s="6" t="n">
        <v>0.0457</v>
      </c>
      <c r="E21" s="6" t="n">
        <v>-0.0121</v>
      </c>
      <c r="F21" s="7" t="n">
        <v>0.000526</v>
      </c>
      <c r="G21" s="8" t="n">
        <v>1542.035268</v>
      </c>
      <c r="H21" s="8" t="n">
        <v>1410.516391</v>
      </c>
      <c r="I21" s="6" t="n">
        <v>0</v>
      </c>
      <c r="J21" s="6" t="n">
        <v>0</v>
      </c>
    </row>
    <row r="22">
      <c r="A22" s="5" t="inlineStr">
        <is>
          <t>2014-03</t>
        </is>
      </c>
      <c r="B22" s="5" t="inlineStr">
        <is>
          <t>family_office</t>
        </is>
      </c>
      <c r="C22" s="6" t="n">
        <v>0.0278</v>
      </c>
      <c r="D22" s="6" t="n">
        <v>0.0083</v>
      </c>
      <c r="E22" s="6" t="n">
        <v>0.0195</v>
      </c>
      <c r="F22" s="7" t="n">
        <v>0.0005240000000000001</v>
      </c>
      <c r="G22" s="8" t="n">
        <v>1584.903848</v>
      </c>
      <c r="H22" s="8" t="n">
        <v>1422.223677</v>
      </c>
      <c r="I22" s="6" t="n">
        <v>0</v>
      </c>
      <c r="J22" s="6" t="n">
        <v>0</v>
      </c>
    </row>
    <row r="23">
      <c r="A23" s="5" t="inlineStr">
        <is>
          <t>2014-04</t>
        </is>
      </c>
      <c r="B23" s="5" t="inlineStr">
        <is>
          <t>family_office</t>
        </is>
      </c>
      <c r="C23" s="6" t="n">
        <v>0.0105</v>
      </c>
      <c r="D23" s="6" t="n">
        <v>0.0073</v>
      </c>
      <c r="E23" s="6" t="n">
        <v>0.003200000000000001</v>
      </c>
      <c r="F23" s="7" t="n">
        <v>0.00031</v>
      </c>
      <c r="G23" s="8" t="n">
        <v>1601.545338</v>
      </c>
      <c r="H23" s="8" t="n">
        <v>1432.60591</v>
      </c>
      <c r="I23" s="6" t="n">
        <v>0</v>
      </c>
      <c r="J23" s="6" t="n">
        <v>0</v>
      </c>
    </row>
    <row r="24">
      <c r="A24" s="5" t="inlineStr">
        <is>
          <t>2014-05</t>
        </is>
      </c>
      <c r="B24" s="5" t="inlineStr">
        <is>
          <t>family_office</t>
        </is>
      </c>
      <c r="C24" s="6" t="n">
        <v>0.0352</v>
      </c>
      <c r="D24" s="6" t="n">
        <v>0.0234</v>
      </c>
      <c r="E24" s="6" t="n">
        <v>0.0118</v>
      </c>
      <c r="F24" s="7" t="n">
        <v>0.000324</v>
      </c>
      <c r="G24" s="8" t="n">
        <v>1657.919734</v>
      </c>
      <c r="H24" s="8" t="n">
        <v>1466.128888</v>
      </c>
      <c r="I24" s="6" t="n">
        <v>0</v>
      </c>
      <c r="J24" s="6" t="n">
        <v>0</v>
      </c>
    </row>
    <row r="25">
      <c r="A25" s="5" t="inlineStr">
        <is>
          <t>2014-06</t>
        </is>
      </c>
      <c r="B25" s="5" t="inlineStr">
        <is>
          <t>family_office</t>
        </is>
      </c>
      <c r="C25" s="6" t="n">
        <v>0.008100000000000001</v>
      </c>
      <c r="D25" s="6" t="n">
        <v>0.0206</v>
      </c>
      <c r="E25" s="6" t="n">
        <v>-0.0125</v>
      </c>
      <c r="F25" s="7" t="n">
        <v>0.000357</v>
      </c>
      <c r="G25" s="8" t="n">
        <v>1671.348884</v>
      </c>
      <c r="H25" s="8" t="n">
        <v>1496.331143</v>
      </c>
      <c r="I25" s="6" t="n">
        <v>0</v>
      </c>
      <c r="J25" s="6" t="n">
        <v>0</v>
      </c>
    </row>
    <row r="26">
      <c r="A26" s="5" t="inlineStr">
        <is>
          <t>2014-07</t>
        </is>
      </c>
      <c r="B26" s="5" t="inlineStr">
        <is>
          <t>family_office</t>
        </is>
      </c>
      <c r="C26" s="6" t="n">
        <v>-0.0008</v>
      </c>
      <c r="D26" s="6" t="n">
        <v>-0.0139</v>
      </c>
      <c r="E26" s="6" t="n">
        <v>0.0131</v>
      </c>
      <c r="F26" s="7" t="n">
        <v>0.000264</v>
      </c>
      <c r="G26" s="8" t="n">
        <v>1670.011805</v>
      </c>
      <c r="H26" s="8" t="n">
        <v>1475.53214</v>
      </c>
      <c r="I26" s="6" t="n">
        <v>-0.0008</v>
      </c>
      <c r="J26" s="6" t="n">
        <v>-0.0139</v>
      </c>
    </row>
    <row r="27">
      <c r="A27" s="5" t="inlineStr">
        <is>
          <t>2014-08</t>
        </is>
      </c>
      <c r="B27" s="5" t="inlineStr">
        <is>
          <t>family_office</t>
        </is>
      </c>
      <c r="C27" s="6" t="n">
        <v>0.038</v>
      </c>
      <c r="D27" s="6" t="n">
        <v>0.0399</v>
      </c>
      <c r="E27" s="6" t="n">
        <v>-0.001900000000000004</v>
      </c>
      <c r="F27" s="7" t="n">
        <v>0.000329</v>
      </c>
      <c r="G27" s="8" t="n">
        <v>1733.472254</v>
      </c>
      <c r="H27" s="8" t="n">
        <v>1534.405873</v>
      </c>
      <c r="I27" s="6" t="n">
        <v>0</v>
      </c>
      <c r="J27" s="6" t="n">
        <v>0</v>
      </c>
    </row>
    <row r="28">
      <c r="A28" s="5" t="inlineStr">
        <is>
          <t>2014-09</t>
        </is>
      </c>
      <c r="B28" s="5" t="inlineStr">
        <is>
          <t>family_office</t>
        </is>
      </c>
      <c r="C28" s="6" t="n">
        <v>0.0298</v>
      </c>
      <c r="D28" s="6" t="n">
        <v>-0.0141</v>
      </c>
      <c r="E28" s="6" t="n">
        <v>0.04389999999999999</v>
      </c>
      <c r="F28" s="7" t="n">
        <v>0.0002</v>
      </c>
      <c r="G28" s="8" t="n">
        <v>1785.129727</v>
      </c>
      <c r="H28" s="8" t="n">
        <v>1512.77075</v>
      </c>
      <c r="I28" s="6" t="n">
        <v>0</v>
      </c>
      <c r="J28" s="6" t="n">
        <v>-0.0141</v>
      </c>
    </row>
    <row r="29">
      <c r="A29" s="5" t="inlineStr">
        <is>
          <t>2014-10</t>
        </is>
      </c>
      <c r="B29" s="5" t="inlineStr">
        <is>
          <t>family_office</t>
        </is>
      </c>
      <c r="C29" s="6" t="n">
        <v>-0.0194</v>
      </c>
      <c r="D29" s="6" t="n">
        <v>0.0243</v>
      </c>
      <c r="E29" s="6" t="n">
        <v>-0.0437</v>
      </c>
      <c r="F29" s="7" t="n">
        <v>0.000167</v>
      </c>
      <c r="G29" s="8" t="n">
        <v>1750.49821</v>
      </c>
      <c r="H29" s="8" t="n">
        <v>1549.531079</v>
      </c>
      <c r="I29" s="6" t="n">
        <v>-0.0194</v>
      </c>
      <c r="J29" s="6" t="n">
        <v>0</v>
      </c>
    </row>
    <row r="30">
      <c r="A30" s="5" t="inlineStr">
        <is>
          <t>2014-11</t>
        </is>
      </c>
      <c r="B30" s="5" t="inlineStr">
        <is>
          <t>family_office</t>
        </is>
      </c>
      <c r="C30" s="6" t="n">
        <v>0.0107</v>
      </c>
      <c r="D30" s="6" t="n">
        <v>0.0268</v>
      </c>
      <c r="E30" s="6" t="n">
        <v>-0.0161</v>
      </c>
      <c r="F30" s="7" t="n">
        <v>0.000216</v>
      </c>
      <c r="G30" s="8" t="n">
        <v>1769.228541</v>
      </c>
      <c r="H30" s="8" t="n">
        <v>1591.058512</v>
      </c>
      <c r="I30" s="6" t="n">
        <v>-0.00890758</v>
      </c>
      <c r="J30" s="6" t="n">
        <v>0</v>
      </c>
    </row>
    <row r="31">
      <c r="A31" s="5" t="inlineStr">
        <is>
          <t>2014-12</t>
        </is>
      </c>
      <c r="B31" s="5" t="inlineStr">
        <is>
          <t>family_office</t>
        </is>
      </c>
      <c r="C31" s="6" t="n">
        <v>-0.0619</v>
      </c>
      <c r="D31" s="6" t="n">
        <v>-0.0026</v>
      </c>
      <c r="E31" s="6" t="n">
        <v>-0.05930000000000001</v>
      </c>
      <c r="F31" s="7" t="n">
        <v>0.000291</v>
      </c>
      <c r="G31" s="8" t="n">
        <v>1659.713294</v>
      </c>
      <c r="H31" s="8" t="n">
        <v>1586.92176</v>
      </c>
      <c r="I31" s="6" t="n">
        <v>-0.0702562</v>
      </c>
      <c r="J31" s="6" t="n">
        <v>-0.0026</v>
      </c>
    </row>
    <row r="32">
      <c r="A32" s="5" t="inlineStr">
        <is>
          <t>2015-01</t>
        </is>
      </c>
      <c r="B32" s="5" t="inlineStr">
        <is>
          <t>family_office</t>
        </is>
      </c>
      <c r="C32" s="6" t="n">
        <v>0.009599999999999999</v>
      </c>
      <c r="D32" s="6" t="n">
        <v>-0.0301</v>
      </c>
      <c r="E32" s="6" t="n">
        <v>0.0397</v>
      </c>
      <c r="F32" s="7" t="n">
        <v>0.000275</v>
      </c>
      <c r="G32" s="8" t="n">
        <v>1675.646542</v>
      </c>
      <c r="H32" s="8" t="n">
        <v>1539.155415</v>
      </c>
      <c r="I32" s="6" t="n">
        <v>-0.06133066</v>
      </c>
      <c r="J32" s="6" t="n">
        <v>-0.03262174</v>
      </c>
    </row>
    <row r="33">
      <c r="A33" s="5" t="inlineStr">
        <is>
          <t>2015-02</t>
        </is>
      </c>
      <c r="B33" s="5" t="inlineStr">
        <is>
          <t>family_office</t>
        </is>
      </c>
      <c r="C33" s="6" t="n">
        <v>0.0478</v>
      </c>
      <c r="D33" s="6" t="n">
        <v>0.0574</v>
      </c>
      <c r="E33" s="6" t="n">
        <v>-0.009599999999999999</v>
      </c>
      <c r="F33" s="7" t="n">
        <v>0.000179</v>
      </c>
      <c r="G33" s="8" t="n">
        <v>1755.742447</v>
      </c>
      <c r="H33" s="8" t="n">
        <v>1627.502936</v>
      </c>
      <c r="I33" s="6" t="n">
        <v>-0.01646227</v>
      </c>
      <c r="J33" s="6" t="n">
        <v>0</v>
      </c>
    </row>
    <row r="34">
      <c r="A34" s="5" t="inlineStr">
        <is>
          <t>2015-03</t>
        </is>
      </c>
      <c r="B34" s="5" t="inlineStr">
        <is>
          <t>family_office</t>
        </is>
      </c>
      <c r="C34" s="6" t="n">
        <v>-0.0036</v>
      </c>
      <c r="D34" s="6" t="n">
        <v>-0.0159</v>
      </c>
      <c r="E34" s="6" t="n">
        <v>0.0123</v>
      </c>
      <c r="F34" s="7" t="n">
        <v>0.000277</v>
      </c>
      <c r="G34" s="8" t="n">
        <v>1749.421774</v>
      </c>
      <c r="H34" s="8" t="n">
        <v>1601.625639</v>
      </c>
      <c r="I34" s="6" t="n">
        <v>-0.020003</v>
      </c>
      <c r="J34" s="6" t="n">
        <v>-0.0159</v>
      </c>
    </row>
    <row r="35">
      <c r="A35" s="5" t="inlineStr">
        <is>
          <t>2015-04</t>
        </is>
      </c>
      <c r="B35" s="5" t="inlineStr">
        <is>
          <t>family_office</t>
        </is>
      </c>
      <c r="C35" s="6" t="n">
        <v>-0.0067</v>
      </c>
      <c r="D35" s="6" t="n">
        <v>0.0095</v>
      </c>
      <c r="E35" s="6" t="n">
        <v>-0.0162</v>
      </c>
      <c r="F35" s="7" t="n">
        <v>0.000233</v>
      </c>
      <c r="G35" s="8" t="n">
        <v>1737.700648</v>
      </c>
      <c r="H35" s="8" t="n">
        <v>1616.841082</v>
      </c>
      <c r="I35" s="6" t="n">
        <v>-0.02656898</v>
      </c>
      <c r="J35" s="6" t="n">
        <v>-0.00655105</v>
      </c>
    </row>
    <row r="36">
      <c r="A36" s="5" t="inlineStr">
        <is>
          <t>2015-05</t>
        </is>
      </c>
      <c r="B36" s="5" t="inlineStr">
        <is>
          <t>family_office</t>
        </is>
      </c>
      <c r="C36" s="6" t="n">
        <v>0.0121</v>
      </c>
      <c r="D36" s="6" t="n">
        <v>0.0128</v>
      </c>
      <c r="E36" s="6" t="n">
        <v>-0.0007000000000000006</v>
      </c>
      <c r="F36" s="7" t="n">
        <v>0.000165</v>
      </c>
      <c r="G36" s="8" t="n">
        <v>1758.726826</v>
      </c>
      <c r="H36" s="8" t="n">
        <v>1637.536648</v>
      </c>
      <c r="I36" s="6" t="n">
        <v>-0.01479047</v>
      </c>
      <c r="J36" s="6" t="n">
        <v>0</v>
      </c>
    </row>
    <row r="37">
      <c r="A37" s="5" t="inlineStr">
        <is>
          <t>2015-06</t>
        </is>
      </c>
      <c r="B37" s="5" t="inlineStr">
        <is>
          <t>family_office</t>
        </is>
      </c>
      <c r="C37" s="6" t="n">
        <v>-0.1065</v>
      </c>
      <c r="D37" s="6" t="n">
        <v>-0.0194</v>
      </c>
      <c r="E37" s="6" t="n">
        <v>-0.08710000000000001</v>
      </c>
      <c r="F37" s="7" t="n">
        <v>0.00015</v>
      </c>
      <c r="G37" s="8" t="n">
        <v>1571.422419</v>
      </c>
      <c r="H37" s="8" t="n">
        <v>1605.768437</v>
      </c>
      <c r="I37" s="6" t="n">
        <v>-0.11971528</v>
      </c>
      <c r="J37" s="6" t="n">
        <v>-0.0194</v>
      </c>
    </row>
    <row r="38">
      <c r="A38" s="5" t="inlineStr">
        <is>
          <t>2015-07</t>
        </is>
      </c>
      <c r="B38" s="5" t="inlineStr">
        <is>
          <t>family_office</t>
        </is>
      </c>
      <c r="C38" s="6" t="n">
        <v>0.0469</v>
      </c>
      <c r="D38" s="6" t="n">
        <v>0.0209</v>
      </c>
      <c r="E38" s="6" t="n">
        <v>0.02600000000000001</v>
      </c>
      <c r="F38" s="7" t="n">
        <v>0.000323</v>
      </c>
      <c r="G38" s="8" t="n">
        <v>1645.12213</v>
      </c>
      <c r="H38" s="8" t="n">
        <v>1639.328998</v>
      </c>
      <c r="I38" s="6" t="n">
        <v>-0.07842992999999999</v>
      </c>
      <c r="J38" s="6" t="n">
        <v>0</v>
      </c>
    </row>
    <row r="39">
      <c r="A39" s="5" t="inlineStr">
        <is>
          <t>2015-08</t>
        </is>
      </c>
      <c r="B39" s="5" t="inlineStr">
        <is>
          <t>family_office</t>
        </is>
      </c>
      <c r="C39" s="6" t="n">
        <v>-0.0479</v>
      </c>
      <c r="D39" s="6" t="n">
        <v>-0.0604</v>
      </c>
      <c r="E39" s="6" t="n">
        <v>0.0125</v>
      </c>
      <c r="F39" s="7" t="n">
        <v>0.000719</v>
      </c>
      <c r="G39" s="8" t="n">
        <v>1566.32078</v>
      </c>
      <c r="H39" s="8" t="n">
        <v>1540.313526</v>
      </c>
      <c r="I39" s="6" t="n">
        <v>-0.12257313</v>
      </c>
      <c r="J39" s="6" t="n">
        <v>-0.0604</v>
      </c>
    </row>
    <row r="40">
      <c r="A40" s="5" t="inlineStr">
        <is>
          <t>2015-09</t>
        </is>
      </c>
      <c r="B40" s="5" t="inlineStr">
        <is>
          <t>family_office</t>
        </is>
      </c>
      <c r="C40" s="6" t="n">
        <v>0.0061</v>
      </c>
      <c r="D40" s="6" t="n">
        <v>-0.0248</v>
      </c>
      <c r="E40" s="6" t="n">
        <v>0.0309</v>
      </c>
      <c r="F40" s="7" t="n">
        <v>0.000224</v>
      </c>
      <c r="G40" s="8" t="n">
        <v>1575.875337</v>
      </c>
      <c r="H40" s="8" t="n">
        <v>1502.113751</v>
      </c>
      <c r="I40" s="6" t="n">
        <v>-0.11722083</v>
      </c>
      <c r="J40" s="6" t="n">
        <v>-0.08370208</v>
      </c>
    </row>
    <row r="41">
      <c r="A41" s="5" t="inlineStr">
        <is>
          <t>2015-10</t>
        </is>
      </c>
      <c r="B41" s="5" t="inlineStr">
        <is>
          <t>family_office</t>
        </is>
      </c>
      <c r="C41" s="6" t="n">
        <v>0.08990000000000001</v>
      </c>
      <c r="D41" s="6" t="n">
        <v>0.0843</v>
      </c>
      <c r="E41" s="6" t="n">
        <v>0.005600000000000005</v>
      </c>
      <c r="F41" s="7" t="n">
        <v>0.00015</v>
      </c>
      <c r="G41" s="8" t="n">
        <v>1717.54653</v>
      </c>
      <c r="H41" s="8" t="n">
        <v>1628.74194</v>
      </c>
      <c r="I41" s="6" t="n">
        <v>-0.03785898</v>
      </c>
      <c r="J41" s="6" t="n">
        <v>-0.00645817</v>
      </c>
    </row>
    <row r="42">
      <c r="A42" s="5" t="inlineStr">
        <is>
          <t>2015-11</t>
        </is>
      </c>
      <c r="B42" s="5" t="inlineStr">
        <is>
          <t>family_office</t>
        </is>
      </c>
      <c r="C42" s="6" t="n">
        <v>0.0189</v>
      </c>
      <c r="D42" s="6" t="n">
        <v>0.0029</v>
      </c>
      <c r="E42" s="6" t="n">
        <v>0.016</v>
      </c>
      <c r="F42" s="7" t="n">
        <v>0.001253</v>
      </c>
      <c r="G42" s="8" t="n">
        <v>1750.008159</v>
      </c>
      <c r="H42" s="8" t="n">
        <v>1633.465292</v>
      </c>
      <c r="I42" s="6" t="n">
        <v>-0.01967452</v>
      </c>
      <c r="J42" s="6" t="n">
        <v>-0.00357689</v>
      </c>
    </row>
    <row r="43">
      <c r="A43" s="5" t="inlineStr">
        <is>
          <t>2015-12</t>
        </is>
      </c>
      <c r="B43" s="5" t="inlineStr">
        <is>
          <t>family_office</t>
        </is>
      </c>
      <c r="C43" s="6" t="n">
        <v>0.0428</v>
      </c>
      <c r="D43" s="6" t="n">
        <v>-0.0159</v>
      </c>
      <c r="E43" s="6" t="n">
        <v>0.0587</v>
      </c>
      <c r="F43" s="7" t="n">
        <v>0.002277</v>
      </c>
      <c r="G43" s="8" t="n">
        <v>1824.908508</v>
      </c>
      <c r="H43" s="8" t="n">
        <v>1607.493193</v>
      </c>
      <c r="I43" s="6" t="n">
        <v>0</v>
      </c>
      <c r="J43" s="6" t="n">
        <v>-0.01942002</v>
      </c>
    </row>
    <row r="44">
      <c r="A44" s="5" t="inlineStr">
        <is>
          <t>2016-01</t>
        </is>
      </c>
      <c r="B44" s="5" t="inlineStr">
        <is>
          <t>family_office</t>
        </is>
      </c>
      <c r="C44" s="6" t="n">
        <v>0</v>
      </c>
      <c r="D44" s="6" t="n">
        <v>-0.04969999999999999</v>
      </c>
      <c r="E44" s="6" t="n">
        <v>0.04969999999999999</v>
      </c>
      <c r="F44" s="7" t="n">
        <v>0.002553</v>
      </c>
      <c r="G44" s="8" t="n">
        <v>1824.908508</v>
      </c>
      <c r="H44" s="8" t="n">
        <v>1527.600782</v>
      </c>
      <c r="I44" s="6" t="n">
        <v>0</v>
      </c>
      <c r="J44" s="6" t="n">
        <v>-0.06815485</v>
      </c>
    </row>
    <row r="45">
      <c r="A45" s="5" t="inlineStr">
        <is>
          <t>2016-02</t>
        </is>
      </c>
      <c r="B45" s="5" t="inlineStr">
        <is>
          <t>family_office</t>
        </is>
      </c>
      <c r="C45" s="6" t="n">
        <v>-0.0235</v>
      </c>
      <c r="D45" s="6" t="n">
        <v>-0.0014</v>
      </c>
      <c r="E45" s="6" t="n">
        <v>-0.0221</v>
      </c>
      <c r="F45" s="7" t="n">
        <v>0.003125</v>
      </c>
      <c r="G45" s="8" t="n">
        <v>1782.023158</v>
      </c>
      <c r="H45" s="8" t="n">
        <v>1525.462141</v>
      </c>
      <c r="I45" s="6" t="n">
        <v>-0.0235</v>
      </c>
      <c r="J45" s="6" t="n">
        <v>-0.06945943</v>
      </c>
    </row>
    <row r="46">
      <c r="A46" s="5" t="inlineStr">
        <is>
          <t>2016-03</t>
        </is>
      </c>
      <c r="B46" s="5" t="inlineStr">
        <is>
          <t>family_office</t>
        </is>
      </c>
      <c r="C46" s="6" t="n">
        <v>0.0819</v>
      </c>
      <c r="D46" s="6" t="n">
        <v>0.0678</v>
      </c>
      <c r="E46" s="6" t="n">
        <v>0.01409999999999999</v>
      </c>
      <c r="F46" s="7" t="n">
        <v>0.002941</v>
      </c>
      <c r="G46" s="8" t="n">
        <v>1927.970855</v>
      </c>
      <c r="H46" s="8" t="n">
        <v>1628.888474</v>
      </c>
      <c r="I46" s="6" t="n">
        <v>0</v>
      </c>
      <c r="J46" s="6" t="n">
        <v>-0.006368780000000001</v>
      </c>
    </row>
    <row r="47">
      <c r="A47" s="5" t="inlineStr">
        <is>
          <t>2016-04</t>
        </is>
      </c>
      <c r="B47" s="5" t="inlineStr">
        <is>
          <t>family_office</t>
        </is>
      </c>
      <c r="C47" s="6" t="n">
        <v>0.009399999999999999</v>
      </c>
      <c r="D47" s="6" t="n">
        <v>0.0038</v>
      </c>
      <c r="E47" s="6" t="n">
        <v>0.005599999999999999</v>
      </c>
      <c r="F47" s="7" t="n">
        <v>0.002281</v>
      </c>
      <c r="G47" s="8" t="n">
        <v>1946.093781</v>
      </c>
      <c r="H47" s="8" t="n">
        <v>1635.07825</v>
      </c>
      <c r="I47" s="6" t="n">
        <v>0</v>
      </c>
      <c r="J47" s="6" t="n">
        <v>-0.00259298</v>
      </c>
    </row>
    <row r="48">
      <c r="A48" s="5" t="inlineStr">
        <is>
          <t>2016-05</t>
        </is>
      </c>
      <c r="B48" s="5" t="inlineStr">
        <is>
          <t>family_office</t>
        </is>
      </c>
      <c r="C48" s="6" t="n">
        <v>0.019</v>
      </c>
      <c r="D48" s="6" t="n">
        <v>0.0179</v>
      </c>
      <c r="E48" s="6" t="n">
        <v>0.001099999999999999</v>
      </c>
      <c r="F48" s="7" t="n">
        <v>0.002743</v>
      </c>
      <c r="G48" s="8" t="n">
        <v>1983.069563</v>
      </c>
      <c r="H48" s="8" t="n">
        <v>1664.346151</v>
      </c>
      <c r="I48" s="6" t="n">
        <v>0</v>
      </c>
      <c r="J48" s="6" t="n">
        <v>0</v>
      </c>
    </row>
    <row r="49">
      <c r="A49" s="5" t="inlineStr">
        <is>
          <t>2016-06</t>
        </is>
      </c>
      <c r="B49" s="5" t="inlineStr">
        <is>
          <t>family_office</t>
        </is>
      </c>
      <c r="C49" s="6" t="n">
        <v>0.0392</v>
      </c>
      <c r="D49" s="6" t="n">
        <v>0.0025</v>
      </c>
      <c r="E49" s="6" t="n">
        <v>0.0367</v>
      </c>
      <c r="F49" s="7" t="n">
        <v>0.002695</v>
      </c>
      <c r="G49" s="8" t="n">
        <v>2060.80589</v>
      </c>
      <c r="H49" s="8" t="n">
        <v>1668.507016</v>
      </c>
      <c r="I49" s="6" t="n">
        <v>0</v>
      </c>
      <c r="J49" s="6" t="n">
        <v>0</v>
      </c>
    </row>
    <row r="50">
      <c r="A50" s="5" t="inlineStr">
        <is>
          <t>2016-07</t>
        </is>
      </c>
      <c r="B50" s="5" t="inlineStr">
        <is>
          <t>family_office</t>
        </is>
      </c>
      <c r="C50" s="6" t="n">
        <v>0.0403</v>
      </c>
      <c r="D50" s="6" t="n">
        <v>0.0368</v>
      </c>
      <c r="E50" s="6" t="n">
        <v>0.003500000000000001</v>
      </c>
      <c r="F50" s="7" t="n">
        <v>0.002975</v>
      </c>
      <c r="G50" s="8" t="n">
        <v>2143.856367</v>
      </c>
      <c r="H50" s="8" t="n">
        <v>1729.908074</v>
      </c>
      <c r="I50" s="6" t="n">
        <v>0</v>
      </c>
      <c r="J50" s="6" t="n">
        <v>0</v>
      </c>
    </row>
    <row r="51">
      <c r="A51" s="5" t="inlineStr">
        <is>
          <t>2016-08</t>
        </is>
      </c>
      <c r="B51" s="5" t="inlineStr">
        <is>
          <t>family_office</t>
        </is>
      </c>
      <c r="C51" s="6" t="n">
        <v>-0.0001</v>
      </c>
      <c r="D51" s="6" t="n">
        <v>0.0013</v>
      </c>
      <c r="E51" s="6" t="n">
        <v>-0.0014</v>
      </c>
      <c r="F51" s="7" t="n">
        <v>0.002974</v>
      </c>
      <c r="G51" s="8" t="n">
        <v>2143.641982</v>
      </c>
      <c r="H51" s="8" t="n">
        <v>1732.156955</v>
      </c>
      <c r="I51" s="6" t="n">
        <v>-0.0001</v>
      </c>
      <c r="J51" s="6" t="n">
        <v>0</v>
      </c>
    </row>
    <row r="52">
      <c r="A52" s="5" t="inlineStr">
        <is>
          <t>2016-09</t>
        </is>
      </c>
      <c r="B52" s="5" t="inlineStr">
        <is>
          <t>family_office</t>
        </is>
      </c>
      <c r="C52" s="6" t="n">
        <v>0.0267</v>
      </c>
      <c r="D52" s="6" t="n">
        <v>0.0001</v>
      </c>
      <c r="E52" s="6" t="n">
        <v>0.0266</v>
      </c>
      <c r="F52" s="7" t="n">
        <v>0.002919</v>
      </c>
      <c r="G52" s="8" t="n">
        <v>2200.877222</v>
      </c>
      <c r="H52" s="8" t="n">
        <v>1732.33017</v>
      </c>
      <c r="I52" s="6" t="n">
        <v>0</v>
      </c>
      <c r="J52" s="6" t="n">
        <v>0</v>
      </c>
    </row>
    <row r="53">
      <c r="A53" s="5" t="inlineStr">
        <is>
          <t>2016-10</t>
        </is>
      </c>
      <c r="B53" s="5" t="inlineStr">
        <is>
          <t>family_office</t>
        </is>
      </c>
      <c r="C53" s="6" t="n">
        <v>0.0059</v>
      </c>
      <c r="D53" s="6" t="n">
        <v>-0.0183</v>
      </c>
      <c r="E53" s="6" t="n">
        <v>0.0242</v>
      </c>
      <c r="F53" s="7" t="n">
        <v>0.003269</v>
      </c>
      <c r="G53" s="8" t="n">
        <v>2213.862398</v>
      </c>
      <c r="H53" s="8" t="n">
        <v>1700.628528</v>
      </c>
      <c r="I53" s="6" t="n">
        <v>0</v>
      </c>
      <c r="J53" s="6" t="n">
        <v>-0.0183</v>
      </c>
    </row>
    <row r="54">
      <c r="A54" s="5" t="inlineStr">
        <is>
          <t>2016-11</t>
        </is>
      </c>
      <c r="B54" s="5" t="inlineStr">
        <is>
          <t>family_office</t>
        </is>
      </c>
      <c r="C54" s="6" t="n">
        <v>0.0276</v>
      </c>
      <c r="D54" s="6" t="n">
        <v>0.03700000000000001</v>
      </c>
      <c r="E54" s="6" t="n">
        <v>-0.009400000000000004</v>
      </c>
      <c r="F54" s="7" t="n">
        <v>0.004488</v>
      </c>
      <c r="G54" s="8" t="n">
        <v>2274.965</v>
      </c>
      <c r="H54" s="8" t="n">
        <v>1763.551784</v>
      </c>
      <c r="I54" s="6" t="n">
        <v>0</v>
      </c>
      <c r="J54" s="6" t="n">
        <v>0</v>
      </c>
    </row>
    <row r="55">
      <c r="A55" s="5" t="inlineStr">
        <is>
          <t>2016-12</t>
        </is>
      </c>
      <c r="B55" s="5" t="inlineStr">
        <is>
          <t>family_office</t>
        </is>
      </c>
      <c r="C55" s="6" t="n">
        <v>-0.0218</v>
      </c>
      <c r="D55" s="6" t="n">
        <v>0.0197</v>
      </c>
      <c r="E55" s="6" t="n">
        <v>-0.0415</v>
      </c>
      <c r="F55" s="7" t="n">
        <v>0.005052</v>
      </c>
      <c r="G55" s="8" t="n">
        <v>2225.370763</v>
      </c>
      <c r="H55" s="8" t="n">
        <v>1798.293754</v>
      </c>
      <c r="I55" s="6" t="n">
        <v>-0.0218</v>
      </c>
      <c r="J55" s="6" t="n">
        <v>0</v>
      </c>
    </row>
    <row r="56">
      <c r="A56" s="5" t="inlineStr">
        <is>
          <t>2017-01</t>
        </is>
      </c>
      <c r="B56" s="5" t="inlineStr">
        <is>
          <t>family_office</t>
        </is>
      </c>
      <c r="C56" s="6" t="n">
        <v>0.03240000000000001</v>
      </c>
      <c r="D56" s="6" t="n">
        <v>0.0189</v>
      </c>
      <c r="E56" s="6" t="n">
        <v>0.0135</v>
      </c>
      <c r="F56" s="7" t="n">
        <v>0.005115</v>
      </c>
      <c r="G56" s="8" t="n">
        <v>2297.472776</v>
      </c>
      <c r="H56" s="8" t="n">
        <v>1832.281506</v>
      </c>
      <c r="I56" s="6" t="n">
        <v>0</v>
      </c>
      <c r="J56" s="6" t="n">
        <v>0</v>
      </c>
    </row>
    <row r="57">
      <c r="A57" s="5" t="inlineStr">
        <is>
          <t>2017-02</t>
        </is>
      </c>
      <c r="B57" s="5" t="inlineStr">
        <is>
          <t>family_office</t>
        </is>
      </c>
      <c r="C57" s="6" t="n">
        <v>0.0075</v>
      </c>
      <c r="D57" s="6" t="n">
        <v>0.0396</v>
      </c>
      <c r="E57" s="6" t="n">
        <v>-0.0321</v>
      </c>
      <c r="F57" s="7" t="n">
        <v>0.005211</v>
      </c>
      <c r="G57" s="8" t="n">
        <v>2314.703822</v>
      </c>
      <c r="H57" s="8" t="n">
        <v>1904.839854</v>
      </c>
      <c r="I57" s="6" t="n">
        <v>0</v>
      </c>
      <c r="J57" s="6" t="n">
        <v>0</v>
      </c>
    </row>
    <row r="58">
      <c r="A58" s="5" t="inlineStr">
        <is>
          <t>2017-03</t>
        </is>
      </c>
      <c r="B58" s="5" t="inlineStr">
        <is>
          <t>family_office</t>
        </is>
      </c>
      <c r="C58" s="6" t="n">
        <v>0.0052</v>
      </c>
      <c r="D58" s="6" t="n">
        <v>0.0011</v>
      </c>
      <c r="E58" s="6" t="n">
        <v>0.0041</v>
      </c>
      <c r="F58" s="7" t="n">
        <v>0.007374</v>
      </c>
      <c r="G58" s="8" t="n">
        <v>2326.740282</v>
      </c>
      <c r="H58" s="8" t="n">
        <v>1906.935177</v>
      </c>
      <c r="I58" s="6" t="n">
        <v>0</v>
      </c>
      <c r="J58" s="6" t="n">
        <v>0</v>
      </c>
    </row>
    <row r="59">
      <c r="A59" s="5" t="inlineStr">
        <is>
          <t>2017-04</t>
        </is>
      </c>
      <c r="B59" s="5" t="inlineStr">
        <is>
          <t>family_office</t>
        </is>
      </c>
      <c r="C59" s="6" t="n">
        <v>0.0252</v>
      </c>
      <c r="D59" s="6" t="n">
        <v>0.0102</v>
      </c>
      <c r="E59" s="6" t="n">
        <v>0.015</v>
      </c>
      <c r="F59" s="7" t="n">
        <v>0.007984</v>
      </c>
      <c r="G59" s="8" t="n">
        <v>2385.374137</v>
      </c>
      <c r="H59" s="8" t="n">
        <v>1926.385916</v>
      </c>
      <c r="I59" s="6" t="n">
        <v>0</v>
      </c>
      <c r="J59" s="6" t="n">
        <v>0</v>
      </c>
    </row>
    <row r="60">
      <c r="A60" s="5" t="inlineStr">
        <is>
          <t>2017-05</t>
        </is>
      </c>
      <c r="B60" s="5" t="inlineStr">
        <is>
          <t>family_office</t>
        </is>
      </c>
      <c r="C60" s="6" t="n">
        <v>0.0237</v>
      </c>
      <c r="D60" s="6" t="n">
        <v>0.014</v>
      </c>
      <c r="E60" s="6" t="n">
        <v>0.009700000000000002</v>
      </c>
      <c r="F60" s="7" t="n">
        <v>0.008891</v>
      </c>
      <c r="G60" s="8" t="n">
        <v>2441.907504</v>
      </c>
      <c r="H60" s="8" t="n">
        <v>1953.355319</v>
      </c>
      <c r="I60" s="6" t="n">
        <v>0</v>
      </c>
      <c r="J60" s="6" t="n">
        <v>0</v>
      </c>
    </row>
    <row r="61">
      <c r="A61" s="5" t="inlineStr">
        <is>
          <t>2017-06</t>
        </is>
      </c>
      <c r="B61" s="5" t="inlineStr">
        <is>
          <t>family_office</t>
        </is>
      </c>
      <c r="C61" s="6" t="n">
        <v>-0.0216</v>
      </c>
      <c r="D61" s="6" t="n">
        <v>0.0062</v>
      </c>
      <c r="E61" s="6" t="n">
        <v>-0.0278</v>
      </c>
      <c r="F61" s="7" t="n">
        <v>0.009827000000000001</v>
      </c>
      <c r="G61" s="8" t="n">
        <v>2389.162302</v>
      </c>
      <c r="H61" s="8" t="n">
        <v>1965.466122</v>
      </c>
      <c r="I61" s="6" t="n">
        <v>-0.0216</v>
      </c>
      <c r="J61" s="6" t="n">
        <v>0</v>
      </c>
    </row>
    <row r="62">
      <c r="A62" s="5" t="inlineStr">
        <is>
          <t>2017-07</t>
        </is>
      </c>
      <c r="B62" s="5" t="inlineStr">
        <is>
          <t>family_office</t>
        </is>
      </c>
      <c r="C62" s="6" t="n">
        <v>0.0426</v>
      </c>
      <c r="D62" s="6" t="n">
        <v>0.0205</v>
      </c>
      <c r="E62" s="6" t="n">
        <v>0.0221</v>
      </c>
      <c r="F62" s="7" t="n">
        <v>0.01067</v>
      </c>
      <c r="G62" s="8" t="n">
        <v>2490.940616</v>
      </c>
      <c r="H62" s="8" t="n">
        <v>2005.758178</v>
      </c>
      <c r="I62" s="6" t="n">
        <v>0</v>
      </c>
      <c r="J62" s="6" t="n">
        <v>0</v>
      </c>
    </row>
    <row r="63">
      <c r="A63" s="5" t="inlineStr">
        <is>
          <t>2017-08</t>
        </is>
      </c>
      <c r="B63" s="5" t="inlineStr">
        <is>
          <t>family_office</t>
        </is>
      </c>
      <c r="C63" s="6" t="n">
        <v>0.0022</v>
      </c>
      <c r="D63" s="6" t="n">
        <v>0.003</v>
      </c>
      <c r="E63" s="6" t="n">
        <v>-0.0007999999999999999</v>
      </c>
      <c r="F63" s="7" t="n">
        <v>0.010143</v>
      </c>
      <c r="G63" s="8" t="n">
        <v>2496.420685</v>
      </c>
      <c r="H63" s="8" t="n">
        <v>2011.775452</v>
      </c>
      <c r="I63" s="6" t="n">
        <v>0</v>
      </c>
      <c r="J63" s="6" t="n">
        <v>0</v>
      </c>
    </row>
    <row r="64">
      <c r="A64" s="5" t="inlineStr">
        <is>
          <t>2017-09</t>
        </is>
      </c>
      <c r="B64" s="5" t="inlineStr">
        <is>
          <t>family_office</t>
        </is>
      </c>
      <c r="C64" s="6" t="n">
        <v>0.0457</v>
      </c>
      <c r="D64" s="6" t="n">
        <v>0.0206</v>
      </c>
      <c r="E64" s="6" t="n">
        <v>0.0251</v>
      </c>
      <c r="F64" s="7" t="n">
        <v>0.010295</v>
      </c>
      <c r="G64" s="8" t="n">
        <v>2610.50711</v>
      </c>
      <c r="H64" s="8" t="n">
        <v>2053.218026</v>
      </c>
      <c r="I64" s="6" t="n">
        <v>0</v>
      </c>
      <c r="J64" s="6" t="n">
        <v>0</v>
      </c>
    </row>
    <row r="65">
      <c r="A65" s="5" t="inlineStr">
        <is>
          <t>2017-10</t>
        </is>
      </c>
      <c r="B65" s="5" t="inlineStr">
        <is>
          <t>family_office</t>
        </is>
      </c>
      <c r="C65" s="6" t="n">
        <v>0.0563</v>
      </c>
      <c r="D65" s="6" t="n">
        <v>0.0233</v>
      </c>
      <c r="E65" s="6" t="n">
        <v>0.033</v>
      </c>
      <c r="F65" s="7" t="n">
        <v>0.010739</v>
      </c>
      <c r="G65" s="8" t="n">
        <v>2757.478661</v>
      </c>
      <c r="H65" s="8" t="n">
        <v>2101.058006</v>
      </c>
      <c r="I65" s="6" t="n">
        <v>0</v>
      </c>
      <c r="J65" s="6" t="n">
        <v>0</v>
      </c>
    </row>
    <row r="66">
      <c r="A66" s="5" t="inlineStr">
        <is>
          <t>2017-11</t>
        </is>
      </c>
      <c r="B66" s="5" t="inlineStr">
        <is>
          <t>family_office</t>
        </is>
      </c>
      <c r="C66" s="6" t="n">
        <v>0.0674</v>
      </c>
      <c r="D66" s="6" t="n">
        <v>0.0306</v>
      </c>
      <c r="E66" s="6" t="n">
        <v>0.0368</v>
      </c>
      <c r="F66" s="7" t="n">
        <v>0.012295</v>
      </c>
      <c r="G66" s="8" t="n">
        <v>2943.332723</v>
      </c>
      <c r="H66" s="8" t="n">
        <v>2165.350381</v>
      </c>
      <c r="I66" s="6" t="n">
        <v>0</v>
      </c>
      <c r="J66" s="6" t="n">
        <v>0</v>
      </c>
    </row>
    <row r="67">
      <c r="A67" s="5" t="inlineStr">
        <is>
          <t>2017-12</t>
        </is>
      </c>
      <c r="B67" s="5" t="inlineStr">
        <is>
          <t>family_office</t>
        </is>
      </c>
      <c r="C67" s="6" t="n">
        <v>0.0076</v>
      </c>
      <c r="D67" s="6" t="n">
        <v>0.011</v>
      </c>
      <c r="E67" s="6" t="n">
        <v>-0.003400000000000001</v>
      </c>
      <c r="F67" s="7" t="n">
        <v>0.01322</v>
      </c>
      <c r="G67" s="8" t="n">
        <v>2965.702051</v>
      </c>
      <c r="H67" s="8" t="n">
        <v>2189.169236</v>
      </c>
      <c r="I67" s="6" t="n">
        <v>0</v>
      </c>
      <c r="J67" s="6" t="n">
        <v>0</v>
      </c>
    </row>
    <row r="68">
      <c r="A68" s="5" t="inlineStr">
        <is>
          <t>2018-01</t>
        </is>
      </c>
      <c r="B68" s="5" t="inlineStr">
        <is>
          <t>family_office</t>
        </is>
      </c>
      <c r="C68" s="6" t="n">
        <v>0.0526</v>
      </c>
      <c r="D68" s="6" t="n">
        <v>0.0572</v>
      </c>
      <c r="E68" s="6" t="n">
        <v>-0.0046</v>
      </c>
      <c r="F68" s="7" t="n">
        <v>0.014133</v>
      </c>
      <c r="G68" s="8" t="n">
        <v>3121.697979</v>
      </c>
      <c r="H68" s="8" t="n">
        <v>2314.389716</v>
      </c>
      <c r="I68" s="6" t="n">
        <v>0</v>
      </c>
      <c r="J68" s="6" t="n">
        <v>0</v>
      </c>
    </row>
    <row r="69">
      <c r="A69" s="5" t="inlineStr">
        <is>
          <t>2018-02</t>
        </is>
      </c>
      <c r="B69" s="5" t="inlineStr">
        <is>
          <t>family_office</t>
        </is>
      </c>
      <c r="C69" s="6" t="n">
        <v>0.0242</v>
      </c>
      <c r="D69" s="6" t="n">
        <v>-0.0369</v>
      </c>
      <c r="E69" s="6" t="n">
        <v>0.06109999999999999</v>
      </c>
      <c r="F69" s="7" t="n">
        <v>0.015679</v>
      </c>
      <c r="G69" s="8" t="n">
        <v>3197.24307</v>
      </c>
      <c r="H69" s="8" t="n">
        <v>2228.988735</v>
      </c>
      <c r="I69" s="6" t="n">
        <v>0</v>
      </c>
      <c r="J69" s="6" t="n">
        <v>-0.0369</v>
      </c>
    </row>
    <row r="70">
      <c r="A70" s="5" t="inlineStr">
        <is>
          <t>2018-03</t>
        </is>
      </c>
      <c r="B70" s="5" t="inlineStr">
        <is>
          <t>family_office</t>
        </is>
      </c>
      <c r="C70" s="6" t="n">
        <v>-0.0068</v>
      </c>
      <c r="D70" s="6" t="n">
        <v>-0.0255</v>
      </c>
      <c r="E70" s="6" t="n">
        <v>0.0187</v>
      </c>
      <c r="F70" s="7" t="n">
        <v>0.016967</v>
      </c>
      <c r="G70" s="8" t="n">
        <v>3175.501817</v>
      </c>
      <c r="H70" s="8" t="n">
        <v>2172.149523</v>
      </c>
      <c r="I70" s="6" t="n">
        <v>-0.0068</v>
      </c>
      <c r="J70" s="6" t="n">
        <v>-0.06145905</v>
      </c>
    </row>
    <row r="71">
      <c r="A71" s="5" t="inlineStr">
        <is>
          <t>2018-04</t>
        </is>
      </c>
      <c r="B71" s="5" t="inlineStr">
        <is>
          <t>family_office</t>
        </is>
      </c>
      <c r="C71" s="6" t="n">
        <v>0.05690000000000001</v>
      </c>
      <c r="D71" s="6" t="n">
        <v>0.0038</v>
      </c>
      <c r="E71" s="6" t="n">
        <v>0.05310000000000001</v>
      </c>
      <c r="F71" s="7" t="n">
        <v>0.017576</v>
      </c>
      <c r="G71" s="8" t="n">
        <v>3356.187871</v>
      </c>
      <c r="H71" s="8" t="n">
        <v>2180.403691</v>
      </c>
      <c r="I71" s="6" t="n">
        <v>0</v>
      </c>
      <c r="J71" s="6" t="n">
        <v>-0.05789259</v>
      </c>
    </row>
    <row r="72">
      <c r="A72" s="5" t="inlineStr">
        <is>
          <t>2018-05</t>
        </is>
      </c>
      <c r="B72" s="5" t="inlineStr">
        <is>
          <t>family_office</t>
        </is>
      </c>
      <c r="C72" s="6" t="n">
        <v>0.0424</v>
      </c>
      <c r="D72" s="6" t="n">
        <v>0.024</v>
      </c>
      <c r="E72" s="6" t="n">
        <v>0.0184</v>
      </c>
      <c r="F72" s="7" t="n">
        <v>0.018641</v>
      </c>
      <c r="G72" s="8" t="n">
        <v>3498.490236</v>
      </c>
      <c r="H72" s="8" t="n">
        <v>2232.733379</v>
      </c>
      <c r="I72" s="6" t="n">
        <v>0</v>
      </c>
      <c r="J72" s="6" t="n">
        <v>-0.03528202</v>
      </c>
    </row>
    <row r="73">
      <c r="A73" s="5" t="inlineStr">
        <is>
          <t>2018-06</t>
        </is>
      </c>
      <c r="B73" s="5" t="inlineStr">
        <is>
          <t>family_office</t>
        </is>
      </c>
      <c r="C73" s="6" t="n">
        <v>-0.007900000000000001</v>
      </c>
      <c r="D73" s="6" t="n">
        <v>0.0061</v>
      </c>
      <c r="E73" s="6" t="n">
        <v>-0.014</v>
      </c>
      <c r="F73" s="7" t="n">
        <v>0.01899</v>
      </c>
      <c r="G73" s="8" t="n">
        <v>3470.852164</v>
      </c>
      <c r="H73" s="8" t="n">
        <v>2246.353053</v>
      </c>
      <c r="I73" s="6" t="n">
        <v>-0.007900000000000001</v>
      </c>
      <c r="J73" s="6" t="n">
        <v>-0.02939724</v>
      </c>
    </row>
    <row r="74">
      <c r="A74" s="5" t="inlineStr">
        <is>
          <t>2018-07</t>
        </is>
      </c>
      <c r="B74" s="5" t="inlineStr">
        <is>
          <t>family_office</t>
        </is>
      </c>
      <c r="C74" s="6" t="n">
        <v>0.0119</v>
      </c>
      <c r="D74" s="6" t="n">
        <v>0.0371</v>
      </c>
      <c r="E74" s="6" t="n">
        <v>-0.0252</v>
      </c>
      <c r="F74" s="7" t="n">
        <v>0.019571</v>
      </c>
      <c r="G74" s="8" t="n">
        <v>3512.155304</v>
      </c>
      <c r="H74" s="8" t="n">
        <v>2329.692751</v>
      </c>
      <c r="I74" s="6" t="n">
        <v>0</v>
      </c>
      <c r="J74" s="6" t="n">
        <v>0</v>
      </c>
    </row>
    <row r="75">
      <c r="A75" s="5" t="inlineStr">
        <is>
          <t>2018-08</t>
        </is>
      </c>
      <c r="B75" s="5" t="inlineStr">
        <is>
          <t>family_office</t>
        </is>
      </c>
      <c r="C75" s="6" t="n">
        <v>0.0308</v>
      </c>
      <c r="D75" s="6" t="n">
        <v>0.0325</v>
      </c>
      <c r="E75" s="6" t="n">
        <v>-0.001699999999999999</v>
      </c>
      <c r="F75" s="7" t="n">
        <v>0.020339</v>
      </c>
      <c r="G75" s="8" t="n">
        <v>3620.329688</v>
      </c>
      <c r="H75" s="8" t="n">
        <v>2405.407766</v>
      </c>
      <c r="I75" s="6" t="n">
        <v>0</v>
      </c>
      <c r="J75" s="6" t="n">
        <v>0</v>
      </c>
    </row>
    <row r="76">
      <c r="A76" s="5" t="inlineStr">
        <is>
          <t>2018-09</t>
        </is>
      </c>
      <c r="B76" s="5" t="inlineStr">
        <is>
          <t>family_office</t>
        </is>
      </c>
      <c r="C76" s="6" t="n">
        <v>0.014</v>
      </c>
      <c r="D76" s="6" t="n">
        <v>0.005600000000000001</v>
      </c>
      <c r="E76" s="6" t="n">
        <v>0.008399999999999998</v>
      </c>
      <c r="F76" s="7" t="n">
        <v>0.021263</v>
      </c>
      <c r="G76" s="8" t="n">
        <v>3671.014303</v>
      </c>
      <c r="H76" s="8" t="n">
        <v>2418.878049</v>
      </c>
      <c r="I76" s="6" t="n">
        <v>0</v>
      </c>
      <c r="J76" s="6" t="n">
        <v>0</v>
      </c>
    </row>
    <row r="77">
      <c r="A77" s="5" t="inlineStr">
        <is>
          <t>2018-10</t>
        </is>
      </c>
      <c r="B77" s="5" t="inlineStr">
        <is>
          <t>family_office</t>
        </is>
      </c>
      <c r="C77" s="6" t="n">
        <v>-0.0076</v>
      </c>
      <c r="D77" s="6" t="n">
        <v>-0.0684</v>
      </c>
      <c r="E77" s="6" t="n">
        <v>0.0608</v>
      </c>
      <c r="F77" s="7" t="n">
        <v>0.022467</v>
      </c>
      <c r="G77" s="8" t="n">
        <v>3643.114595</v>
      </c>
      <c r="H77" s="8" t="n">
        <v>2253.426791</v>
      </c>
      <c r="I77" s="6" t="n">
        <v>-0.0076</v>
      </c>
      <c r="J77" s="6" t="n">
        <v>-0.0684</v>
      </c>
    </row>
    <row r="78">
      <c r="A78" s="5" t="inlineStr">
        <is>
          <t>2018-11</t>
        </is>
      </c>
      <c r="B78" s="5" t="inlineStr">
        <is>
          <t>family_office</t>
        </is>
      </c>
      <c r="C78" s="6" t="n">
        <v>0.0208</v>
      </c>
      <c r="D78" s="6" t="n">
        <v>0.0203</v>
      </c>
      <c r="E78" s="6" t="n">
        <v>0.0005000000000000026</v>
      </c>
      <c r="F78" s="7" t="n">
        <v>0.023264</v>
      </c>
      <c r="G78" s="8" t="n">
        <v>3718.891378</v>
      </c>
      <c r="H78" s="8" t="n">
        <v>2299.171354</v>
      </c>
      <c r="I78" s="6" t="n">
        <v>0</v>
      </c>
      <c r="J78" s="6" t="n">
        <v>-0.04948851999999999</v>
      </c>
    </row>
    <row r="79">
      <c r="A79" s="5" t="inlineStr">
        <is>
          <t>2018-12</t>
        </is>
      </c>
      <c r="B79" s="5" t="inlineStr">
        <is>
          <t>family_office</t>
        </is>
      </c>
      <c r="C79" s="6" t="n">
        <v>-0.0163</v>
      </c>
      <c r="D79" s="6" t="n">
        <v>-0.09039999999999999</v>
      </c>
      <c r="E79" s="6" t="n">
        <v>0.0741</v>
      </c>
      <c r="F79" s="7" t="n">
        <v>0.023658</v>
      </c>
      <c r="G79" s="8" t="n">
        <v>3658.273449</v>
      </c>
      <c r="H79" s="8" t="n">
        <v>2091.326264</v>
      </c>
      <c r="I79" s="6" t="n">
        <v>-0.0163</v>
      </c>
      <c r="J79" s="6" t="n">
        <v>-0.13541476</v>
      </c>
    </row>
    <row r="80">
      <c r="A80" s="5" t="inlineStr">
        <is>
          <t>2019-01</t>
        </is>
      </c>
      <c r="B80" s="5" t="inlineStr">
        <is>
          <t>family_office</t>
        </is>
      </c>
      <c r="C80" s="6" t="n">
        <v>0.0765</v>
      </c>
      <c r="D80" s="6" t="n">
        <v>0.0801</v>
      </c>
      <c r="E80" s="6" t="n">
        <v>-0.003599999999999994</v>
      </c>
      <c r="F80" s="7" t="n">
        <v>0.023743</v>
      </c>
      <c r="G80" s="8" t="n">
        <v>3938.131368</v>
      </c>
      <c r="H80" s="8" t="n">
        <v>2258.841498</v>
      </c>
      <c r="I80" s="6" t="n">
        <v>0</v>
      </c>
      <c r="J80" s="6" t="n">
        <v>-0.06616147999999999</v>
      </c>
    </row>
    <row r="81">
      <c r="A81" s="5" t="inlineStr">
        <is>
          <t>2019-02</t>
        </is>
      </c>
      <c r="B81" s="5" t="inlineStr">
        <is>
          <t>family_office</t>
        </is>
      </c>
      <c r="C81" s="6" t="n">
        <v>0.0359</v>
      </c>
      <c r="D81" s="6" t="n">
        <v>0.032</v>
      </c>
      <c r="E81" s="6" t="n">
        <v>0.003899999999999997</v>
      </c>
      <c r="F81" s="7" t="n">
        <v>0.023884</v>
      </c>
      <c r="G81" s="8" t="n">
        <v>4079.510284</v>
      </c>
      <c r="H81" s="8" t="n">
        <v>2331.124426</v>
      </c>
      <c r="I81" s="6" t="n">
        <v>0</v>
      </c>
      <c r="J81" s="6" t="n">
        <v>-0.03627865</v>
      </c>
    </row>
    <row r="82">
      <c r="A82" s="5" t="inlineStr">
        <is>
          <t>2019-03</t>
        </is>
      </c>
      <c r="B82" s="5" t="inlineStr">
        <is>
          <t>family_office</t>
        </is>
      </c>
      <c r="C82" s="6" t="n">
        <v>0.0121</v>
      </c>
      <c r="D82" s="6" t="n">
        <v>0.0194</v>
      </c>
      <c r="E82" s="6" t="n">
        <v>-0.0073</v>
      </c>
      <c r="F82" s="7" t="n">
        <v>0.024024</v>
      </c>
      <c r="G82" s="8" t="n">
        <v>4128.872358</v>
      </c>
      <c r="H82" s="8" t="n">
        <v>2376.34824</v>
      </c>
      <c r="I82" s="6" t="n">
        <v>0</v>
      </c>
      <c r="J82" s="6" t="n">
        <v>-0.01758245</v>
      </c>
    </row>
    <row r="83">
      <c r="A83" s="5" t="inlineStr">
        <is>
          <t>2019-04</t>
        </is>
      </c>
      <c r="B83" s="5" t="inlineStr">
        <is>
          <t>family_office</t>
        </is>
      </c>
      <c r="C83" s="6" t="n">
        <v>0.019</v>
      </c>
      <c r="D83" s="6" t="n">
        <v>0.0404</v>
      </c>
      <c r="E83" s="6" t="n">
        <v>-0.0214</v>
      </c>
      <c r="F83" s="7" t="n">
        <v>0.023829</v>
      </c>
      <c r="G83" s="8" t="n">
        <v>4207.320933</v>
      </c>
      <c r="H83" s="8" t="n">
        <v>2472.352708</v>
      </c>
      <c r="I83" s="6" t="n">
        <v>0</v>
      </c>
      <c r="J83" s="6" t="n">
        <v>0</v>
      </c>
    </row>
    <row r="84">
      <c r="A84" s="5" t="inlineStr">
        <is>
          <t>2019-05</t>
        </is>
      </c>
      <c r="B84" s="5" t="inlineStr">
        <is>
          <t>family_office</t>
        </is>
      </c>
      <c r="C84" s="6" t="n">
        <v>-0.0389</v>
      </c>
      <c r="D84" s="6" t="n">
        <v>-0.0636</v>
      </c>
      <c r="E84" s="6" t="n">
        <v>0.0247</v>
      </c>
      <c r="F84" s="7" t="n">
        <v>0.023527</v>
      </c>
      <c r="G84" s="8" t="n">
        <v>4043.656149</v>
      </c>
      <c r="H84" s="8" t="n">
        <v>2315.111076</v>
      </c>
      <c r="I84" s="6" t="n">
        <v>-0.0389</v>
      </c>
      <c r="J84" s="6" t="n">
        <v>-0.0636</v>
      </c>
    </row>
    <row r="85">
      <c r="A85" s="5" t="inlineStr">
        <is>
          <t>2019-06</t>
        </is>
      </c>
      <c r="B85" s="5" t="inlineStr">
        <is>
          <t>family_office</t>
        </is>
      </c>
      <c r="C85" s="6" t="n">
        <v>0.0475</v>
      </c>
      <c r="D85" s="6" t="n">
        <v>0.0704</v>
      </c>
      <c r="E85" s="6" t="n">
        <v>-0.0229</v>
      </c>
      <c r="F85" s="7" t="n">
        <v>0.021705</v>
      </c>
      <c r="G85" s="8" t="n">
        <v>4235.729816</v>
      </c>
      <c r="H85" s="8" t="n">
        <v>2478.094896</v>
      </c>
      <c r="I85" s="6" t="n">
        <v>0</v>
      </c>
      <c r="J85" s="6" t="n">
        <v>0</v>
      </c>
    </row>
    <row r="86">
      <c r="A86" s="5" t="inlineStr">
        <is>
          <t>2019-07</t>
        </is>
      </c>
      <c r="B86" s="5" t="inlineStr">
        <is>
          <t>family_office</t>
        </is>
      </c>
      <c r="C86" s="6" t="n">
        <v>0.0037</v>
      </c>
      <c r="D86" s="6" t="n">
        <v>0.0143</v>
      </c>
      <c r="E86" s="6" t="n">
        <v>-0.0106</v>
      </c>
      <c r="F86" s="7" t="n">
        <v>0.020986</v>
      </c>
      <c r="G86" s="8" t="n">
        <v>4251.402016</v>
      </c>
      <c r="H86" s="8" t="n">
        <v>2513.531653</v>
      </c>
      <c r="I86" s="6" t="n">
        <v>0</v>
      </c>
      <c r="J86" s="6" t="n">
        <v>0</v>
      </c>
    </row>
    <row r="87">
      <c r="A87" s="5" t="inlineStr">
        <is>
          <t>2019-08</t>
        </is>
      </c>
      <c r="B87" s="5" t="inlineStr">
        <is>
          <t>family_office</t>
        </is>
      </c>
      <c r="C87" s="6" t="n">
        <v>-0.0562</v>
      </c>
      <c r="D87" s="6" t="n">
        <v>-0.0159</v>
      </c>
      <c r="E87" s="6" t="n">
        <v>-0.0403</v>
      </c>
      <c r="F87" s="7" t="n">
        <v>0.019495</v>
      </c>
      <c r="G87" s="8" t="n">
        <v>4012.473223</v>
      </c>
      <c r="H87" s="8" t="n">
        <v>2473.5665</v>
      </c>
      <c r="I87" s="6" t="n">
        <v>-0.0562</v>
      </c>
      <c r="J87" s="6" t="n">
        <v>-0.0159</v>
      </c>
    </row>
    <row r="88">
      <c r="A88" s="5" t="inlineStr">
        <is>
          <t>2019-09</t>
        </is>
      </c>
      <c r="B88" s="5" t="inlineStr">
        <is>
          <t>family_office</t>
        </is>
      </c>
      <c r="C88" s="6" t="n">
        <v>0.0307</v>
      </c>
      <c r="D88" s="6" t="n">
        <v>0.0186</v>
      </c>
      <c r="E88" s="6" t="n">
        <v>0.0121</v>
      </c>
      <c r="F88" s="7" t="n">
        <v>0.018945</v>
      </c>
      <c r="G88" s="8" t="n">
        <v>4135.656151</v>
      </c>
      <c r="H88" s="8" t="n">
        <v>2519.574837</v>
      </c>
      <c r="I88" s="6" t="n">
        <v>-0.02722534</v>
      </c>
      <c r="J88" s="6" t="n">
        <v>0</v>
      </c>
    </row>
    <row r="89">
      <c r="A89" s="5" t="inlineStr">
        <is>
          <t>2019-10</t>
        </is>
      </c>
      <c r="B89" s="5" t="inlineStr">
        <is>
          <t>family_office</t>
        </is>
      </c>
      <c r="C89" s="6" t="n">
        <v>0.04559999999999999</v>
      </c>
      <c r="D89" s="6" t="n">
        <v>0.0216</v>
      </c>
      <c r="E89" s="6" t="n">
        <v>0.02399999999999999</v>
      </c>
      <c r="F89" s="7" t="n">
        <v>0.016467</v>
      </c>
      <c r="G89" s="8" t="n">
        <v>4324.242071</v>
      </c>
      <c r="H89" s="8" t="n">
        <v>2573.997653</v>
      </c>
      <c r="I89" s="6" t="n">
        <v>0</v>
      </c>
      <c r="J89" s="6" t="n">
        <v>0</v>
      </c>
    </row>
    <row r="90">
      <c r="A90" s="5" t="inlineStr">
        <is>
          <t>2019-11</t>
        </is>
      </c>
      <c r="B90" s="5" t="inlineStr">
        <is>
          <t>family_office</t>
        </is>
      </c>
      <c r="C90" s="6" t="n">
        <v>0.0004</v>
      </c>
      <c r="D90" s="6" t="n">
        <v>0.0362</v>
      </c>
      <c r="E90" s="6" t="n">
        <v>-0.0358</v>
      </c>
      <c r="F90" s="7" t="n">
        <v>0.01542</v>
      </c>
      <c r="G90" s="8" t="n">
        <v>4325.971768</v>
      </c>
      <c r="H90" s="8" t="n">
        <v>2667.176368</v>
      </c>
      <c r="I90" s="6" t="n">
        <v>0</v>
      </c>
      <c r="J90" s="6" t="n">
        <v>0</v>
      </c>
    </row>
    <row r="91">
      <c r="A91" s="5" t="inlineStr">
        <is>
          <t>2019-12</t>
        </is>
      </c>
      <c r="B91" s="5" t="inlineStr">
        <is>
          <t>family_office</t>
        </is>
      </c>
      <c r="C91" s="6" t="n">
        <v>-0.0097</v>
      </c>
      <c r="D91" s="6" t="n">
        <v>0.0301</v>
      </c>
      <c r="E91" s="6" t="n">
        <v>-0.0398</v>
      </c>
      <c r="F91" s="7" t="n">
        <v>0.015352</v>
      </c>
      <c r="G91" s="8" t="n">
        <v>4284.009842</v>
      </c>
      <c r="H91" s="8" t="n">
        <v>2747.458377</v>
      </c>
      <c r="I91" s="6" t="n">
        <v>-0.0097</v>
      </c>
      <c r="J91" s="6" t="n">
        <v>0</v>
      </c>
    </row>
    <row r="92">
      <c r="A92" s="5" t="inlineStr">
        <is>
          <t>2020-01</t>
        </is>
      </c>
      <c r="B92" s="5" t="inlineStr">
        <is>
          <t>family_office</t>
        </is>
      </c>
      <c r="C92" s="6" t="n">
        <v>0.0281</v>
      </c>
      <c r="D92" s="6" t="n">
        <v>-0.0005</v>
      </c>
      <c r="E92" s="6" t="n">
        <v>0.0286</v>
      </c>
      <c r="F92" s="7" t="n">
        <v>0.015224</v>
      </c>
      <c r="G92" s="8" t="n">
        <v>4404.390518</v>
      </c>
      <c r="H92" s="8" t="n">
        <v>2746.084648</v>
      </c>
      <c r="I92" s="6" t="n">
        <v>0</v>
      </c>
      <c r="J92" s="6" t="n">
        <v>-0.0005</v>
      </c>
    </row>
    <row r="93">
      <c r="A93" s="5" t="inlineStr">
        <is>
          <t>2020-02</t>
        </is>
      </c>
      <c r="B93" s="5" t="inlineStr">
        <is>
          <t>family_office</t>
        </is>
      </c>
      <c r="C93" s="6" t="n">
        <v>-0.1365</v>
      </c>
      <c r="D93" s="6" t="n">
        <v>-0.0824</v>
      </c>
      <c r="E93" s="6" t="n">
        <v>-0.0541</v>
      </c>
      <c r="F93" s="7" t="n">
        <v>0.015153</v>
      </c>
      <c r="G93" s="8" t="n">
        <v>3803.191213</v>
      </c>
      <c r="H93" s="8" t="n">
        <v>2519.807273</v>
      </c>
      <c r="I93" s="6" t="n">
        <v>-0.1365</v>
      </c>
      <c r="J93" s="6" t="n">
        <v>-0.08285880000000001</v>
      </c>
    </row>
    <row r="94">
      <c r="A94" s="5" t="inlineStr">
        <is>
          <t>2020-03</t>
        </is>
      </c>
      <c r="B94" s="5" t="inlineStr">
        <is>
          <t>family_office</t>
        </is>
      </c>
      <c r="C94" s="6" t="n">
        <v>0.5532</v>
      </c>
      <c r="D94" s="6" t="n">
        <v>-0.1236</v>
      </c>
      <c r="E94" s="6" t="n">
        <v>0.6768000000000001</v>
      </c>
      <c r="F94" s="7" t="n">
        <v>0.002864</v>
      </c>
      <c r="G94" s="8" t="n">
        <v>5907.116591</v>
      </c>
      <c r="H94" s="8" t="n">
        <v>2208.359094</v>
      </c>
      <c r="I94" s="6" t="n">
        <v>0</v>
      </c>
      <c r="J94" s="6" t="n">
        <v>-0.19621745</v>
      </c>
    </row>
    <row r="95">
      <c r="A95" s="5" t="inlineStr">
        <is>
          <t>2020-04</t>
        </is>
      </c>
      <c r="B95" s="5" t="inlineStr">
        <is>
          <t>family_office</t>
        </is>
      </c>
      <c r="C95" s="6" t="n">
        <v>0.2965</v>
      </c>
      <c r="D95" s="6" t="n">
        <v>0.1281</v>
      </c>
      <c r="E95" s="6" t="n">
        <v>0.1684</v>
      </c>
      <c r="F95" s="7" t="n">
        <v>0.001381</v>
      </c>
      <c r="G95" s="8" t="n">
        <v>7658.576661</v>
      </c>
      <c r="H95" s="8" t="n">
        <v>2491.249894</v>
      </c>
      <c r="I95" s="6" t="n">
        <v>0</v>
      </c>
      <c r="J95" s="6" t="n">
        <v>-0.09325290999999999</v>
      </c>
    </row>
    <row r="96">
      <c r="A96" s="5" t="inlineStr">
        <is>
          <t>2020-05</t>
        </is>
      </c>
      <c r="B96" s="5" t="inlineStr">
        <is>
          <t>family_office</t>
        </is>
      </c>
      <c r="C96" s="6" t="n">
        <v>0.09660000000000001</v>
      </c>
      <c r="D96" s="6" t="n">
        <v>0.0475</v>
      </c>
      <c r="E96" s="6" t="n">
        <v>0.0491</v>
      </c>
      <c r="F96" s="7" t="n">
        <v>0.001275</v>
      </c>
      <c r="G96" s="8" t="n">
        <v>8398.395166</v>
      </c>
      <c r="H96" s="8" t="n">
        <v>2609.584264</v>
      </c>
      <c r="I96" s="6" t="n">
        <v>0</v>
      </c>
      <c r="J96" s="6" t="n">
        <v>-0.05018242</v>
      </c>
    </row>
    <row r="97">
      <c r="A97" s="5" t="inlineStr">
        <is>
          <t>2020-06</t>
        </is>
      </c>
      <c r="B97" s="5" t="inlineStr">
        <is>
          <t>family_office</t>
        </is>
      </c>
      <c r="C97" s="6" t="n">
        <v>0.0215</v>
      </c>
      <c r="D97" s="6" t="n">
        <v>0.0198</v>
      </c>
      <c r="E97" s="6" t="n">
        <v>0.001699999999999999</v>
      </c>
      <c r="F97" s="7" t="n">
        <v>0.001595</v>
      </c>
      <c r="G97" s="8" t="n">
        <v>8578.960662</v>
      </c>
      <c r="H97" s="8" t="n">
        <v>2661.254032</v>
      </c>
      <c r="I97" s="6" t="n">
        <v>0</v>
      </c>
      <c r="J97" s="6" t="n">
        <v>-0.03137603</v>
      </c>
    </row>
    <row r="98">
      <c r="A98" s="5" t="inlineStr">
        <is>
          <t>2020-07</t>
        </is>
      </c>
      <c r="B98" s="5" t="inlineStr">
        <is>
          <t>family_office</t>
        </is>
      </c>
      <c r="C98" s="6" t="n">
        <v>0.0441</v>
      </c>
      <c r="D98" s="6" t="n">
        <v>0.0563</v>
      </c>
      <c r="E98" s="6" t="n">
        <v>-0.0122</v>
      </c>
      <c r="F98" s="7" t="n">
        <v>0.001268</v>
      </c>
      <c r="G98" s="8" t="n">
        <v>8957.292826999999</v>
      </c>
      <c r="H98" s="8" t="n">
        <v>2811.082634</v>
      </c>
      <c r="I98" s="6" t="n">
        <v>0</v>
      </c>
      <c r="J98" s="6" t="n">
        <v>0</v>
      </c>
    </row>
    <row r="99">
      <c r="A99" s="5" t="inlineStr">
        <is>
          <t>2020-08</t>
        </is>
      </c>
      <c r="B99" s="5" t="inlineStr">
        <is>
          <t>family_office</t>
        </is>
      </c>
      <c r="C99" s="6" t="n">
        <v>0.07440000000000001</v>
      </c>
      <c r="D99" s="6" t="n">
        <v>0.0718</v>
      </c>
      <c r="E99" s="6" t="n">
        <v>0.002600000000000007</v>
      </c>
      <c r="F99" s="7" t="n">
        <v>0.001043</v>
      </c>
      <c r="G99" s="8" t="n">
        <v>9623.715414</v>
      </c>
      <c r="H99" s="8" t="n">
        <v>3012.918367</v>
      </c>
      <c r="I99" s="6" t="n">
        <v>0</v>
      </c>
      <c r="J99" s="6" t="n">
        <v>0</v>
      </c>
    </row>
    <row r="100">
      <c r="A100" s="5" t="inlineStr">
        <is>
          <t>2020-09</t>
        </is>
      </c>
      <c r="B100" s="5" t="inlineStr">
        <is>
          <t>family_office</t>
        </is>
      </c>
      <c r="C100" s="6" t="n">
        <v>0.0342</v>
      </c>
      <c r="D100" s="6" t="n">
        <v>-0.0381</v>
      </c>
      <c r="E100" s="6" t="n">
        <v>0.0723</v>
      </c>
      <c r="F100" s="7" t="n">
        <v>0.001086</v>
      </c>
      <c r="G100" s="8" t="n">
        <v>9952.846481</v>
      </c>
      <c r="H100" s="8" t="n">
        <v>2898.126177</v>
      </c>
      <c r="I100" s="6" t="n">
        <v>0</v>
      </c>
      <c r="J100" s="6" t="n">
        <v>-0.0381</v>
      </c>
    </row>
    <row r="101">
      <c r="A101" s="5" t="inlineStr">
        <is>
          <t>2020-10</t>
        </is>
      </c>
      <c r="B101" s="5" t="inlineStr">
        <is>
          <t>family_office</t>
        </is>
      </c>
      <c r="C101" s="6" t="n">
        <v>-0.0692</v>
      </c>
      <c r="D101" s="6" t="n">
        <v>-0.0267</v>
      </c>
      <c r="E101" s="6" t="n">
        <v>-0.0425</v>
      </c>
      <c r="F101" s="7" t="n">
        <v>0.001007</v>
      </c>
      <c r="G101" s="8" t="n">
        <v>9264.109505</v>
      </c>
      <c r="H101" s="8" t="n">
        <v>2820.746208</v>
      </c>
      <c r="I101" s="6" t="n">
        <v>-0.0692</v>
      </c>
      <c r="J101" s="6" t="n">
        <v>-0.06378273</v>
      </c>
    </row>
    <row r="102">
      <c r="A102" s="5" t="inlineStr">
        <is>
          <t>2020-11</t>
        </is>
      </c>
      <c r="B102" s="5" t="inlineStr">
        <is>
          <t>family_office</t>
        </is>
      </c>
      <c r="C102" s="6" t="n">
        <v>0.1687</v>
      </c>
      <c r="D102" s="6" t="n">
        <v>0.1094</v>
      </c>
      <c r="E102" s="6" t="n">
        <v>0.05930000000000001</v>
      </c>
      <c r="F102" s="7" t="n">
        <v>0.000915</v>
      </c>
      <c r="G102" s="8" t="n">
        <v>10826.964778</v>
      </c>
      <c r="H102" s="8" t="n">
        <v>3129.335844</v>
      </c>
      <c r="I102" s="6" t="n">
        <v>0</v>
      </c>
      <c r="J102" s="6" t="n">
        <v>0</v>
      </c>
    </row>
    <row r="103">
      <c r="A103" s="5" t="inlineStr">
        <is>
          <t>2020-12</t>
        </is>
      </c>
      <c r="B103" s="5" t="inlineStr">
        <is>
          <t>family_office</t>
        </is>
      </c>
      <c r="C103" s="6" t="n">
        <v>0.0491</v>
      </c>
      <c r="D103" s="6" t="n">
        <v>0.0384</v>
      </c>
      <c r="E103" s="6" t="n">
        <v>0.0107</v>
      </c>
      <c r="F103" s="7" t="n">
        <v>0.0008730000000000001</v>
      </c>
      <c r="G103" s="8" t="n">
        <v>11358.568749</v>
      </c>
      <c r="H103" s="8" t="n">
        <v>3249.50234</v>
      </c>
      <c r="I103" s="6" t="n">
        <v>0</v>
      </c>
      <c r="J103" s="6" t="n">
        <v>0</v>
      </c>
    </row>
    <row r="104">
      <c r="A104" s="5" t="inlineStr">
        <is>
          <t>2021-01</t>
        </is>
      </c>
      <c r="B104" s="5" t="inlineStr">
        <is>
          <t>family_office</t>
        </is>
      </c>
      <c r="C104" s="6" t="n">
        <v>0.0026</v>
      </c>
      <c r="D104" s="6" t="n">
        <v>-0.0102</v>
      </c>
      <c r="E104" s="6" t="n">
        <v>0.0128</v>
      </c>
      <c r="F104" s="7" t="n">
        <v>0.000837</v>
      </c>
      <c r="G104" s="8" t="n">
        <v>11388.101027</v>
      </c>
      <c r="H104" s="8" t="n">
        <v>3216.357416</v>
      </c>
      <c r="I104" s="6" t="n">
        <v>0</v>
      </c>
      <c r="J104" s="6" t="n">
        <v>-0.0102</v>
      </c>
    </row>
    <row r="105">
      <c r="A105" s="5" t="inlineStr">
        <is>
          <t>2021-02</t>
        </is>
      </c>
      <c r="B105" s="5" t="inlineStr">
        <is>
          <t>family_office</t>
        </is>
      </c>
      <c r="C105" s="6" t="n">
        <v>0.0416</v>
      </c>
      <c r="D105" s="6" t="n">
        <v>0.0278</v>
      </c>
      <c r="E105" s="6" t="n">
        <v>0.0138</v>
      </c>
      <c r="F105" s="7" t="n">
        <v>0.000426</v>
      </c>
      <c r="G105" s="8" t="n">
        <v>11861.84603</v>
      </c>
      <c r="H105" s="8" t="n">
        <v>3305.772152</v>
      </c>
      <c r="I105" s="6" t="n">
        <v>0</v>
      </c>
      <c r="J105" s="6" t="n">
        <v>0</v>
      </c>
    </row>
    <row r="106">
      <c r="A106" s="5" t="inlineStr">
        <is>
          <t>2021-03</t>
        </is>
      </c>
      <c r="B106" s="5" t="inlineStr">
        <is>
          <t>family_office</t>
        </is>
      </c>
      <c r="C106" s="6" t="n">
        <v>0.0361</v>
      </c>
      <c r="D106" s="6" t="n">
        <v>0.0437</v>
      </c>
      <c r="E106" s="6" t="n">
        <v>-0.007600000000000003</v>
      </c>
      <c r="F106" s="7" t="n">
        <v>0.000313</v>
      </c>
      <c r="G106" s="8" t="n">
        <v>12290.058672</v>
      </c>
      <c r="H106" s="8" t="n">
        <v>3450.234395</v>
      </c>
      <c r="I106" s="6" t="n">
        <v>0</v>
      </c>
      <c r="J106" s="6" t="n">
        <v>0</v>
      </c>
    </row>
    <row r="107">
      <c r="A107" s="5" t="inlineStr">
        <is>
          <t>2021-04</t>
        </is>
      </c>
      <c r="B107" s="5" t="inlineStr">
        <is>
          <t>family_office</t>
        </is>
      </c>
      <c r="C107" s="6" t="n">
        <v>0.0688</v>
      </c>
      <c r="D107" s="6" t="n">
        <v>0.0533</v>
      </c>
      <c r="E107" s="6" t="n">
        <v>0.0155</v>
      </c>
      <c r="F107" s="7" t="n">
        <v>0.00021</v>
      </c>
      <c r="G107" s="8" t="n">
        <v>13135.614708</v>
      </c>
      <c r="H107" s="8" t="n">
        <v>3634.131889</v>
      </c>
      <c r="I107" s="6" t="n">
        <v>0</v>
      </c>
      <c r="J107" s="6" t="n">
        <v>0</v>
      </c>
    </row>
    <row r="108">
      <c r="A108" s="5" t="inlineStr">
        <is>
          <t>2021-05</t>
        </is>
      </c>
      <c r="B108" s="5" t="inlineStr">
        <is>
          <t>family_office</t>
        </is>
      </c>
      <c r="C108" s="6" t="n">
        <v>0.0036</v>
      </c>
      <c r="D108" s="6" t="n">
        <v>0.0069</v>
      </c>
      <c r="E108" s="6" t="n">
        <v>-0.0033</v>
      </c>
      <c r="F108" s="7" t="n">
        <v>0.00018</v>
      </c>
      <c r="G108" s="8" t="n">
        <v>13182.902921</v>
      </c>
      <c r="H108" s="8" t="n">
        <v>3659.207399</v>
      </c>
      <c r="I108" s="6" t="n">
        <v>0</v>
      </c>
      <c r="J108" s="6" t="n">
        <v>0</v>
      </c>
    </row>
    <row r="109">
      <c r="A109" s="5" t="inlineStr">
        <is>
          <t>2021-06</t>
        </is>
      </c>
      <c r="B109" s="5" t="inlineStr">
        <is>
          <t>family_office</t>
        </is>
      </c>
      <c r="C109" s="6" t="n">
        <v>0.0425</v>
      </c>
      <c r="D109" s="6" t="n">
        <v>0.0233</v>
      </c>
      <c r="E109" s="6" t="n">
        <v>0.0192</v>
      </c>
      <c r="F109" s="7" t="n">
        <v>0.000359</v>
      </c>
      <c r="G109" s="8" t="n">
        <v>13743.176295</v>
      </c>
      <c r="H109" s="8" t="n">
        <v>3744.466931</v>
      </c>
      <c r="I109" s="6" t="n">
        <v>0</v>
      </c>
      <c r="J109" s="6" t="n">
        <v>0</v>
      </c>
    </row>
    <row r="110">
      <c r="A110" s="5" t="inlineStr">
        <is>
          <t>2021-07</t>
        </is>
      </c>
      <c r="B110" s="5" t="inlineStr">
        <is>
          <t>family_office</t>
        </is>
      </c>
      <c r="C110" s="6" t="n">
        <v>-0.0155</v>
      </c>
      <c r="D110" s="6" t="n">
        <v>0.0237</v>
      </c>
      <c r="E110" s="6" t="n">
        <v>-0.0392</v>
      </c>
      <c r="F110" s="7" t="n">
        <v>0.0005240000000000001</v>
      </c>
      <c r="G110" s="8" t="n">
        <v>13530.157063</v>
      </c>
      <c r="H110" s="8" t="n">
        <v>3833.210797</v>
      </c>
      <c r="I110" s="6" t="n">
        <v>-0.0155</v>
      </c>
      <c r="J110" s="6" t="n">
        <v>0</v>
      </c>
    </row>
    <row r="111">
      <c r="A111" s="5" t="inlineStr">
        <is>
          <t>2021-08</t>
        </is>
      </c>
      <c r="B111" s="5" t="inlineStr">
        <is>
          <t>family_office</t>
        </is>
      </c>
      <c r="C111" s="6" t="n">
        <v>0.0352</v>
      </c>
      <c r="D111" s="6" t="n">
        <v>0.0303</v>
      </c>
      <c r="E111" s="6" t="n">
        <v>0.004900000000000002</v>
      </c>
      <c r="F111" s="7" t="n">
        <v>0.000545</v>
      </c>
      <c r="G111" s="8" t="n">
        <v>14006.418591</v>
      </c>
      <c r="H111" s="8" t="n">
        <v>3949.357084</v>
      </c>
      <c r="I111" s="6" t="n">
        <v>0</v>
      </c>
      <c r="J111" s="6" t="n">
        <v>0</v>
      </c>
    </row>
    <row r="112">
      <c r="A112" s="5" t="inlineStr">
        <is>
          <t>2021-09</t>
        </is>
      </c>
      <c r="B112" s="5" t="inlineStr">
        <is>
          <t>family_office</t>
        </is>
      </c>
      <c r="C112" s="6" t="n">
        <v>-0.0137</v>
      </c>
      <c r="D112" s="6" t="n">
        <v>-0.0466</v>
      </c>
      <c r="E112" s="6" t="n">
        <v>0.0329</v>
      </c>
      <c r="F112" s="7" t="n">
        <v>0.000419</v>
      </c>
      <c r="G112" s="8" t="n">
        <v>13814.530657</v>
      </c>
      <c r="H112" s="8" t="n">
        <v>3765.317044</v>
      </c>
      <c r="I112" s="6" t="n">
        <v>-0.0137</v>
      </c>
      <c r="J112" s="6" t="n">
        <v>-0.0466</v>
      </c>
    </row>
    <row r="113">
      <c r="A113" s="5" t="inlineStr">
        <is>
          <t>2021-10</t>
        </is>
      </c>
      <c r="B113" s="5" t="inlineStr">
        <is>
          <t>family_office</t>
        </is>
      </c>
      <c r="C113" s="6" t="n">
        <v>0.08460000000000001</v>
      </c>
      <c r="D113" s="6" t="n">
        <v>0.07000000000000001</v>
      </c>
      <c r="E113" s="6" t="n">
        <v>0.01460000000000001</v>
      </c>
      <c r="F113" s="7" t="n">
        <v>0.000521</v>
      </c>
      <c r="G113" s="8" t="n">
        <v>14983.23995</v>
      </c>
      <c r="H113" s="8" t="n">
        <v>4028.889237</v>
      </c>
      <c r="I113" s="6" t="n">
        <v>0</v>
      </c>
      <c r="J113" s="6" t="n">
        <v>0</v>
      </c>
    </row>
    <row r="114">
      <c r="A114" s="5" t="inlineStr">
        <is>
          <t>2021-11</t>
        </is>
      </c>
      <c r="B114" s="5" t="inlineStr">
        <is>
          <t>family_office</t>
        </is>
      </c>
      <c r="C114" s="6" t="n">
        <v>0.0345</v>
      </c>
      <c r="D114" s="6" t="n">
        <v>-0.006999999999999999</v>
      </c>
      <c r="E114" s="6" t="n">
        <v>0.0415</v>
      </c>
      <c r="F114" s="7" t="n">
        <v>0.000514</v>
      </c>
      <c r="G114" s="8" t="n">
        <v>15500.161729</v>
      </c>
      <c r="H114" s="8" t="n">
        <v>4000.687013</v>
      </c>
      <c r="I114" s="6" t="n">
        <v>0</v>
      </c>
      <c r="J114" s="6" t="n">
        <v>-0.006999999999999999</v>
      </c>
    </row>
    <row r="115">
      <c r="A115" s="5" t="inlineStr">
        <is>
          <t>2021-12</t>
        </is>
      </c>
      <c r="B115" s="5" t="inlineStr">
        <is>
          <t>family_office</t>
        </is>
      </c>
      <c r="C115" s="6" t="n">
        <v>0.033</v>
      </c>
      <c r="D115" s="6" t="n">
        <v>0.0447</v>
      </c>
      <c r="E115" s="6" t="n">
        <v>-0.0117</v>
      </c>
      <c r="F115" s="7" t="n">
        <v>0.0005999999999999999</v>
      </c>
      <c r="G115" s="8" t="n">
        <v>16011.667066</v>
      </c>
      <c r="H115" s="8" t="n">
        <v>4179.517722</v>
      </c>
      <c r="I115" s="6" t="n">
        <v>0</v>
      </c>
      <c r="J115" s="6" t="n">
        <v>0</v>
      </c>
    </row>
    <row r="116">
      <c r="A116" s="5" t="inlineStr">
        <is>
          <t>2022-01</t>
        </is>
      </c>
      <c r="B116" s="5" t="inlineStr">
        <is>
          <t>family_office</t>
        </is>
      </c>
      <c r="C116" s="6" t="n">
        <v>-0.0248</v>
      </c>
      <c r="D116" s="6" t="n">
        <v>-0.0518</v>
      </c>
      <c r="E116" s="6" t="n">
        <v>0.027</v>
      </c>
      <c r="F116" s="7" t="n">
        <v>0.001495</v>
      </c>
      <c r="G116" s="8" t="n">
        <v>15614.577722</v>
      </c>
      <c r="H116" s="8" t="n">
        <v>3963.018704</v>
      </c>
      <c r="I116" s="6" t="n">
        <v>-0.0248</v>
      </c>
      <c r="J116" s="6" t="n">
        <v>-0.0518</v>
      </c>
    </row>
    <row r="117">
      <c r="A117" s="5" t="inlineStr">
        <is>
          <t>2022-02</t>
        </is>
      </c>
      <c r="B117" s="5" t="inlineStr">
        <is>
          <t>family_office</t>
        </is>
      </c>
      <c r="C117" s="6" t="n">
        <v>0.0016</v>
      </c>
      <c r="D117" s="6" t="n">
        <v>-0.03</v>
      </c>
      <c r="E117" s="6" t="n">
        <v>0.0316</v>
      </c>
      <c r="F117" s="7" t="n">
        <v>0.003258</v>
      </c>
      <c r="G117" s="8" t="n">
        <v>15639.561047</v>
      </c>
      <c r="H117" s="8" t="n">
        <v>3844.128143</v>
      </c>
      <c r="I117" s="6" t="n">
        <v>-0.02323968</v>
      </c>
      <c r="J117" s="6" t="n">
        <v>-0.080246</v>
      </c>
    </row>
    <row r="118">
      <c r="A118" s="5" t="inlineStr">
        <is>
          <t>2022-03</t>
        </is>
      </c>
      <c r="B118" s="5" t="inlineStr">
        <is>
          <t>family_office</t>
        </is>
      </c>
      <c r="C118" s="6" t="n">
        <v>0.0554</v>
      </c>
      <c r="D118" s="6" t="n">
        <v>0.03700000000000001</v>
      </c>
      <c r="E118" s="6" t="n">
        <v>0.0184</v>
      </c>
      <c r="F118" s="7" t="n">
        <v>0.004435</v>
      </c>
      <c r="G118" s="8" t="n">
        <v>16505.992729</v>
      </c>
      <c r="H118" s="8" t="n">
        <v>3986.360884</v>
      </c>
      <c r="I118" s="6" t="n">
        <v>0</v>
      </c>
      <c r="J118" s="6" t="n">
        <v>-0.0462151</v>
      </c>
    </row>
    <row r="119">
      <c r="A119" s="5" t="inlineStr">
        <is>
          <t>2022-04</t>
        </is>
      </c>
      <c r="B119" s="5" t="inlineStr">
        <is>
          <t>family_office</t>
        </is>
      </c>
      <c r="C119" s="6" t="n">
        <v>0</v>
      </c>
      <c r="D119" s="6" t="n">
        <v>-0.0873</v>
      </c>
      <c r="E119" s="6" t="n">
        <v>0.0873</v>
      </c>
      <c r="F119" s="7" t="n">
        <v>0.00763</v>
      </c>
      <c r="G119" s="8" t="n">
        <v>16505.992729</v>
      </c>
      <c r="H119" s="8" t="n">
        <v>3638.351579</v>
      </c>
      <c r="I119" s="6" t="n">
        <v>0</v>
      </c>
      <c r="J119" s="6" t="n">
        <v>-0.12948052</v>
      </c>
    </row>
    <row r="120">
      <c r="A120" s="5" t="inlineStr">
        <is>
          <t>2022-05</t>
        </is>
      </c>
      <c r="B120" s="5" t="inlineStr">
        <is>
          <t>family_office</t>
        </is>
      </c>
      <c r="C120" s="6" t="n">
        <v>0.0071</v>
      </c>
      <c r="D120" s="6" t="n">
        <v>0.0018</v>
      </c>
      <c r="E120" s="6" t="n">
        <v>0.0053</v>
      </c>
      <c r="F120" s="7" t="n">
        <v>0.009833</v>
      </c>
      <c r="G120" s="8" t="n">
        <v>16623.185277</v>
      </c>
      <c r="H120" s="8" t="n">
        <v>3644.900612</v>
      </c>
      <c r="I120" s="6" t="n">
        <v>0</v>
      </c>
      <c r="J120" s="6" t="n">
        <v>-0.12791359</v>
      </c>
    </row>
    <row r="121">
      <c r="A121" s="5" t="inlineStr">
        <is>
          <t>2022-06</t>
        </is>
      </c>
      <c r="B121" s="5" t="inlineStr">
        <is>
          <t>family_office</t>
        </is>
      </c>
      <c r="C121" s="6" t="n">
        <v>0</v>
      </c>
      <c r="D121" s="6" t="n">
        <v>-0.08259999999999999</v>
      </c>
      <c r="E121" s="6" t="n">
        <v>0.08259999999999999</v>
      </c>
      <c r="F121" s="7" t="n">
        <v>0.014948</v>
      </c>
      <c r="G121" s="8" t="n">
        <v>16623.185277</v>
      </c>
      <c r="H121" s="8" t="n">
        <v>3343.831821</v>
      </c>
      <c r="I121" s="6" t="n">
        <v>0</v>
      </c>
      <c r="J121" s="6" t="n">
        <v>-0.19994793</v>
      </c>
    </row>
    <row r="122">
      <c r="A122" s="5" t="inlineStr">
        <is>
          <t>2022-07</t>
        </is>
      </c>
      <c r="B122" s="5" t="inlineStr">
        <is>
          <t>family_office</t>
        </is>
      </c>
      <c r="C122" s="6" t="n">
        <v>0.1064</v>
      </c>
      <c r="D122" s="6" t="n">
        <v>0.09210000000000002</v>
      </c>
      <c r="E122" s="6" t="n">
        <v>0.0143</v>
      </c>
      <c r="F122" s="7" t="n">
        <v>0.022325</v>
      </c>
      <c r="G122" s="8" t="n">
        <v>18391.892191</v>
      </c>
      <c r="H122" s="8" t="n">
        <v>3651.798732</v>
      </c>
      <c r="I122" s="6" t="n">
        <v>0</v>
      </c>
      <c r="J122" s="6" t="n">
        <v>-0.12626313</v>
      </c>
    </row>
    <row r="123">
      <c r="A123" s="5" t="inlineStr">
        <is>
          <t>2022-08</t>
        </is>
      </c>
      <c r="B123" s="5" t="inlineStr">
        <is>
          <t>family_office</t>
        </is>
      </c>
      <c r="C123" s="6" t="n">
        <v>-0.004099999999999999</v>
      </c>
      <c r="D123" s="6" t="n">
        <v>-0.0409</v>
      </c>
      <c r="E123" s="6" t="n">
        <v>0.0368</v>
      </c>
      <c r="F123" s="7" t="n">
        <v>0.026309</v>
      </c>
      <c r="G123" s="8" t="n">
        <v>18316.485433</v>
      </c>
      <c r="H123" s="8" t="n">
        <v>3502.440164</v>
      </c>
      <c r="I123" s="6" t="n">
        <v>-0.004099999999999999</v>
      </c>
      <c r="J123" s="6" t="n">
        <v>-0.16199897</v>
      </c>
    </row>
    <row r="124">
      <c r="A124" s="5" t="inlineStr">
        <is>
          <t>2022-09</t>
        </is>
      </c>
      <c r="B124" s="5" t="inlineStr">
        <is>
          <t>family_office</t>
        </is>
      </c>
      <c r="C124" s="6" t="n">
        <v>-0.08160000000000001</v>
      </c>
      <c r="D124" s="6" t="n">
        <v>-0.0922</v>
      </c>
      <c r="E124" s="6" t="n">
        <v>0.01060000000000001</v>
      </c>
      <c r="F124" s="7" t="n">
        <v>0.031267</v>
      </c>
      <c r="G124" s="8" t="n">
        <v>16821.860221</v>
      </c>
      <c r="H124" s="8" t="n">
        <v>3179.515181</v>
      </c>
      <c r="I124" s="6" t="n">
        <v>-0.08536543999999999</v>
      </c>
      <c r="J124" s="6" t="n">
        <v>-0.23926266</v>
      </c>
    </row>
    <row r="125">
      <c r="A125" s="5" t="inlineStr">
        <is>
          <t>2022-10</t>
        </is>
      </c>
      <c r="B125" s="5" t="inlineStr">
        <is>
          <t>family_office</t>
        </is>
      </c>
      <c r="C125" s="6" t="n">
        <v>0.1004</v>
      </c>
      <c r="D125" s="6" t="n">
        <v>0.0809</v>
      </c>
      <c r="E125" s="6" t="n">
        <v>0.01949999999999999</v>
      </c>
      <c r="F125" s="7" t="n">
        <v>0.037029</v>
      </c>
      <c r="G125" s="8" t="n">
        <v>18510.774988</v>
      </c>
      <c r="H125" s="8" t="n">
        <v>3436.737959</v>
      </c>
      <c r="I125" s="6" t="n">
        <v>0</v>
      </c>
      <c r="J125" s="6" t="n">
        <v>-0.17771901</v>
      </c>
    </row>
    <row r="126">
      <c r="A126" s="5" t="inlineStr">
        <is>
          <t>2022-11</t>
        </is>
      </c>
      <c r="B126" s="5" t="inlineStr">
        <is>
          <t>family_office</t>
        </is>
      </c>
      <c r="C126" s="6" t="n">
        <v>0.0528</v>
      </c>
      <c r="D126" s="6" t="n">
        <v>0.0558</v>
      </c>
      <c r="E126" s="6" t="n">
        <v>-0.002999999999999998</v>
      </c>
      <c r="F126" s="7" t="n">
        <v>0.041502</v>
      </c>
      <c r="G126" s="8" t="n">
        <v>19488.143907</v>
      </c>
      <c r="H126" s="8" t="n">
        <v>3628.507937</v>
      </c>
      <c r="I126" s="6" t="n">
        <v>0</v>
      </c>
      <c r="J126" s="6" t="n">
        <v>-0.13183573</v>
      </c>
    </row>
    <row r="127">
      <c r="A127" s="5" t="inlineStr">
        <is>
          <t>2022-12</t>
        </is>
      </c>
      <c r="B127" s="5" t="inlineStr">
        <is>
          <t>family_office</t>
        </is>
      </c>
      <c r="C127" s="6" t="n">
        <v>-0.0203</v>
      </c>
      <c r="D127" s="6" t="n">
        <v>-0.05769999999999999</v>
      </c>
      <c r="E127" s="6" t="n">
        <v>0.0374</v>
      </c>
      <c r="F127" s="7" t="n">
        <v>0.042524</v>
      </c>
      <c r="G127" s="8" t="n">
        <v>19092.534586</v>
      </c>
      <c r="H127" s="8" t="n">
        <v>3419.143029</v>
      </c>
      <c r="I127" s="6" t="n">
        <v>-0.0203</v>
      </c>
      <c r="J127" s="6" t="n">
        <v>-0.18192881</v>
      </c>
    </row>
    <row r="128">
      <c r="A128" s="5" t="inlineStr">
        <is>
          <t>2023-01</t>
        </is>
      </c>
      <c r="B128" s="5" t="inlineStr">
        <is>
          <t>family_office</t>
        </is>
      </c>
      <c r="C128" s="6" t="n">
        <v>0.0965</v>
      </c>
      <c r="D128" s="6" t="n">
        <v>0.06280000000000001</v>
      </c>
      <c r="E128" s="6" t="n">
        <v>0.0337</v>
      </c>
      <c r="F128" s="7" t="n">
        <v>0.045375</v>
      </c>
      <c r="G128" s="8" t="n">
        <v>20934.964173</v>
      </c>
      <c r="H128" s="8" t="n">
        <v>3633.865211</v>
      </c>
      <c r="I128" s="6" t="n">
        <v>0</v>
      </c>
      <c r="J128" s="6" t="n">
        <v>-0.13055394</v>
      </c>
    </row>
    <row r="129">
      <c r="A129" s="5" t="inlineStr">
        <is>
          <t>2023-02</t>
        </is>
      </c>
      <c r="B129" s="5" t="inlineStr">
        <is>
          <t>family_office</t>
        </is>
      </c>
      <c r="C129" s="6" t="n">
        <v>-0.0244</v>
      </c>
      <c r="D129" s="6" t="n">
        <v>-0.0245</v>
      </c>
      <c r="E129" s="6" t="n">
        <v>0.0001000000000000023</v>
      </c>
      <c r="F129" s="7" t="n">
        <v>0.046547</v>
      </c>
      <c r="G129" s="8" t="n">
        <v>20424.151047</v>
      </c>
      <c r="H129" s="8" t="n">
        <v>3544.835514</v>
      </c>
      <c r="I129" s="6" t="n">
        <v>-0.0244</v>
      </c>
      <c r="J129" s="6" t="n">
        <v>-0.15185537</v>
      </c>
    </row>
    <row r="130">
      <c r="A130" s="5" t="inlineStr">
        <is>
          <t>2023-03</t>
        </is>
      </c>
      <c r="B130" s="5" t="inlineStr">
        <is>
          <t>family_office</t>
        </is>
      </c>
      <c r="C130" s="6" t="n">
        <v>0.0551</v>
      </c>
      <c r="D130" s="6" t="n">
        <v>0.0366</v>
      </c>
      <c r="E130" s="6" t="n">
        <v>0.0185</v>
      </c>
      <c r="F130" s="7" t="n">
        <v>0.046917</v>
      </c>
      <c r="G130" s="8" t="n">
        <v>21549.52177</v>
      </c>
      <c r="H130" s="8" t="n">
        <v>3674.576493</v>
      </c>
      <c r="I130" s="6" t="n">
        <v>0</v>
      </c>
      <c r="J130" s="6" t="n">
        <v>-0.12081328</v>
      </c>
    </row>
    <row r="131">
      <c r="A131" s="5" t="inlineStr">
        <is>
          <t>2023-04</t>
        </is>
      </c>
      <c r="B131" s="5" t="inlineStr">
        <is>
          <t>family_office</t>
        </is>
      </c>
      <c r="C131" s="6" t="n">
        <v>0.0106</v>
      </c>
      <c r="D131" s="6" t="n">
        <v>0.0155</v>
      </c>
      <c r="E131" s="6" t="n">
        <v>-0.0049</v>
      </c>
      <c r="F131" s="7" t="n">
        <v>0.049305</v>
      </c>
      <c r="G131" s="8" t="n">
        <v>21777.946701</v>
      </c>
      <c r="H131" s="8" t="n">
        <v>3731.532429</v>
      </c>
      <c r="I131" s="6" t="n">
        <v>0</v>
      </c>
      <c r="J131" s="6" t="n">
        <v>-0.10718588</v>
      </c>
    </row>
    <row r="132">
      <c r="A132" s="5" t="inlineStr">
        <is>
          <t>2023-05</t>
        </is>
      </c>
      <c r="B132" s="5" t="inlineStr">
        <is>
          <t>family_office</t>
        </is>
      </c>
      <c r="C132" s="6" t="n">
        <v>0.008399999999999999</v>
      </c>
      <c r="D132" s="6" t="n">
        <v>0.0043</v>
      </c>
      <c r="E132" s="6" t="n">
        <v>0.004099999999999999</v>
      </c>
      <c r="F132" s="7" t="n">
        <v>0.051355</v>
      </c>
      <c r="G132" s="8" t="n">
        <v>21960.881453</v>
      </c>
      <c r="H132" s="8" t="n">
        <v>3747.578019</v>
      </c>
      <c r="I132" s="6" t="n">
        <v>0</v>
      </c>
      <c r="J132" s="6" t="n">
        <v>-0.10334678</v>
      </c>
    </row>
    <row r="133">
      <c r="A133" s="5" t="inlineStr">
        <is>
          <t>2023-06</t>
        </is>
      </c>
      <c r="B133" s="5" t="inlineStr">
        <is>
          <t>family_office</t>
        </is>
      </c>
      <c r="C133" s="6" t="n">
        <v>0.07539999999999999</v>
      </c>
      <c r="D133" s="6" t="n">
        <v>0.066</v>
      </c>
      <c r="E133" s="6" t="n">
        <v>0.009400000000000004</v>
      </c>
      <c r="F133" s="7" t="n">
        <v>0.051581</v>
      </c>
      <c r="G133" s="8" t="n">
        <v>23616.731915</v>
      </c>
      <c r="H133" s="8" t="n">
        <v>3994.918168</v>
      </c>
      <c r="I133" s="6" t="n">
        <v>0</v>
      </c>
      <c r="J133" s="6" t="n">
        <v>-0.04416767</v>
      </c>
    </row>
    <row r="134">
      <c r="A134" s="5" t="inlineStr">
        <is>
          <t>2023-07</t>
        </is>
      </c>
      <c r="B134" s="5" t="inlineStr">
        <is>
          <t>family_office</t>
        </is>
      </c>
      <c r="C134" s="6" t="n">
        <v>0.0221</v>
      </c>
      <c r="D134" s="6" t="n">
        <v>0.032</v>
      </c>
      <c r="E134" s="6" t="n">
        <v>-0.009900000000000003</v>
      </c>
      <c r="F134" s="7" t="n">
        <v>0.05254</v>
      </c>
      <c r="G134" s="8" t="n">
        <v>24138.66169</v>
      </c>
      <c r="H134" s="8" t="n">
        <v>4122.755549</v>
      </c>
      <c r="I134" s="6" t="n">
        <v>0</v>
      </c>
      <c r="J134" s="6" t="n">
        <v>-0.01358103</v>
      </c>
    </row>
    <row r="135">
      <c r="A135" s="5" t="inlineStr">
        <is>
          <t>2023-08</t>
        </is>
      </c>
      <c r="B135" s="5" t="inlineStr">
        <is>
          <t>commingled_fund</t>
        </is>
      </c>
      <c r="C135" s="6" t="n">
        <v>0.0114</v>
      </c>
      <c r="D135" s="6" t="n">
        <v>-0.016</v>
      </c>
      <c r="E135" s="6" t="n">
        <v>0.0274</v>
      </c>
      <c r="F135" s="7" t="n">
        <v>0.052965</v>
      </c>
      <c r="G135" s="8" t="n">
        <v>24413.842433</v>
      </c>
      <c r="H135" s="8" t="n">
        <v>4056.79146</v>
      </c>
      <c r="I135" s="6" t="n">
        <v>0</v>
      </c>
      <c r="J135" s="6" t="n">
        <v>-0.02936374</v>
      </c>
    </row>
    <row r="136">
      <c r="A136" s="5" t="inlineStr">
        <is>
          <t>2023-09</t>
        </is>
      </c>
      <c r="B136" s="5" t="inlineStr">
        <is>
          <t>commingled_fund</t>
        </is>
      </c>
      <c r="C136" s="6" t="n">
        <v>-0.0225</v>
      </c>
      <c r="D136" s="6" t="n">
        <v>-0.04769999999999999</v>
      </c>
      <c r="E136" s="6" t="n">
        <v>0.0252</v>
      </c>
      <c r="F136" s="7" t="n">
        <v>0.053195</v>
      </c>
      <c r="G136" s="8" t="n">
        <v>23864.530978</v>
      </c>
      <c r="H136" s="8" t="n">
        <v>3863.282508</v>
      </c>
      <c r="I136" s="6" t="n">
        <v>-0.0225</v>
      </c>
      <c r="J136" s="6" t="n">
        <v>-0.07566309</v>
      </c>
    </row>
    <row r="137">
      <c r="A137" s="5" t="inlineStr">
        <is>
          <t>2023-10</t>
        </is>
      </c>
      <c r="B137" s="5" t="inlineStr">
        <is>
          <t>commingled_fund</t>
        </is>
      </c>
      <c r="C137" s="6" t="n">
        <v>-0.0574</v>
      </c>
      <c r="D137" s="6" t="n">
        <v>-0.0211</v>
      </c>
      <c r="E137" s="6" t="n">
        <v>-0.03630000000000001</v>
      </c>
      <c r="F137" s="7" t="n">
        <v>0.053359</v>
      </c>
      <c r="G137" s="8" t="n">
        <v>22494.7069</v>
      </c>
      <c r="H137" s="8" t="n">
        <v>3781.767247</v>
      </c>
      <c r="I137" s="6" t="n">
        <v>-0.0786085</v>
      </c>
      <c r="J137" s="6" t="n">
        <v>-0.0951666</v>
      </c>
    </row>
    <row r="138">
      <c r="A138" s="5" t="inlineStr">
        <is>
          <t>2023-11</t>
        </is>
      </c>
      <c r="B138" s="5" t="inlineStr">
        <is>
          <t>commingled_fund</t>
        </is>
      </c>
      <c r="C138" s="6" t="n">
        <v>0.0431</v>
      </c>
      <c r="D138" s="6" t="n">
        <v>0.09119999999999999</v>
      </c>
      <c r="E138" s="6" t="n">
        <v>-0.0481</v>
      </c>
      <c r="F138" s="7" t="n">
        <v>0.0527</v>
      </c>
      <c r="G138" s="8" t="n">
        <v>23464.228768</v>
      </c>
      <c r="H138" s="8" t="n">
        <v>4126.66442</v>
      </c>
      <c r="I138" s="6" t="n">
        <v>-0.03889653</v>
      </c>
      <c r="J138" s="6" t="n">
        <v>-0.01264579</v>
      </c>
    </row>
    <row r="139">
      <c r="A139" s="5" t="inlineStr">
        <is>
          <t>2023-12</t>
        </is>
      </c>
      <c r="B139" s="5" t="inlineStr">
        <is>
          <t>commingled_fund</t>
        </is>
      </c>
      <c r="C139" s="6" t="n">
        <v>0.0198</v>
      </c>
      <c r="D139" s="6" t="n">
        <v>0.0454</v>
      </c>
      <c r="E139" s="6" t="n">
        <v>-0.0256</v>
      </c>
      <c r="F139" s="7" t="n">
        <v>0.052415</v>
      </c>
      <c r="G139" s="8" t="n">
        <v>23928.820497</v>
      </c>
      <c r="H139" s="8" t="n">
        <v>4314.014984</v>
      </c>
      <c r="I139" s="6" t="n">
        <v>-0.01986668</v>
      </c>
      <c r="J139" s="6" t="n">
        <v>0</v>
      </c>
    </row>
    <row r="140">
      <c r="A140" s="5" t="inlineStr">
        <is>
          <t>2024-01</t>
        </is>
      </c>
      <c r="B140" s="5" t="inlineStr">
        <is>
          <t>commingled_fund</t>
        </is>
      </c>
      <c r="C140" s="6" t="n">
        <v>-0.0291</v>
      </c>
      <c r="D140" s="6" t="n">
        <v>0.0167</v>
      </c>
      <c r="E140" s="6" t="n">
        <v>-0.0458</v>
      </c>
      <c r="F140" s="7" t="n">
        <v>0.052248</v>
      </c>
      <c r="G140" s="8" t="n">
        <v>23232.491821</v>
      </c>
      <c r="H140" s="8" t="n">
        <v>4386.059035</v>
      </c>
      <c r="I140" s="6" t="n">
        <v>-0.04838856</v>
      </c>
      <c r="J140" s="6" t="n">
        <v>0</v>
      </c>
    </row>
    <row r="141">
      <c r="A141" s="5" t="inlineStr">
        <is>
          <t>2024-02</t>
        </is>
      </c>
      <c r="B141" s="5" t="inlineStr">
        <is>
          <t>commingled_fund</t>
        </is>
      </c>
      <c r="C141" s="6" t="n">
        <v>0.0888</v>
      </c>
      <c r="D141" s="6" t="n">
        <v>0.0533</v>
      </c>
      <c r="E141" s="6" t="n">
        <v>0.0355</v>
      </c>
      <c r="F141" s="7" t="n">
        <v>0.052385</v>
      </c>
      <c r="G141" s="8" t="n">
        <v>25295.537094</v>
      </c>
      <c r="H141" s="8" t="n">
        <v>4619.835981</v>
      </c>
      <c r="I141" s="6" t="n">
        <v>0</v>
      </c>
      <c r="J141" s="6" t="n">
        <v>0</v>
      </c>
    </row>
    <row r="142">
      <c r="A142" s="5" t="inlineStr">
        <is>
          <t>2024-03</t>
        </is>
      </c>
      <c r="B142" s="5" t="inlineStr">
        <is>
          <t>commingled_fund</t>
        </is>
      </c>
      <c r="C142" s="6" t="n">
        <v>0.0142</v>
      </c>
      <c r="D142" s="6" t="n">
        <v>0.0321</v>
      </c>
      <c r="E142" s="6" t="n">
        <v>-0.0179</v>
      </c>
      <c r="F142" s="7" t="n">
        <v>0.05239</v>
      </c>
      <c r="G142" s="8" t="n">
        <v>25654.733721</v>
      </c>
      <c r="H142" s="8" t="n">
        <v>4768.132716</v>
      </c>
      <c r="I142" s="6" t="n">
        <v>0</v>
      </c>
      <c r="J142" s="6" t="n">
        <v>0</v>
      </c>
    </row>
    <row r="143">
      <c r="A143" s="5" t="inlineStr">
        <is>
          <t>2024-04</t>
        </is>
      </c>
      <c r="B143" s="5" t="inlineStr">
        <is>
          <t>commingled_fund</t>
        </is>
      </c>
      <c r="C143" s="6" t="n">
        <v>-0.0198</v>
      </c>
      <c r="D143" s="6" t="n">
        <v>-0.0409</v>
      </c>
      <c r="E143" s="6" t="n">
        <v>0.0211</v>
      </c>
      <c r="F143" s="7" t="n">
        <v>0.052414</v>
      </c>
      <c r="G143" s="8" t="n">
        <v>25146.769994</v>
      </c>
      <c r="H143" s="8" t="n">
        <v>4573.116088</v>
      </c>
      <c r="I143" s="6" t="n">
        <v>-0.0198</v>
      </c>
      <c r="J143" s="6" t="n">
        <v>-0.0409</v>
      </c>
    </row>
    <row r="144">
      <c r="A144" s="5" t="inlineStr">
        <is>
          <t>2024-05</t>
        </is>
      </c>
      <c r="B144" s="5" t="inlineStr">
        <is>
          <t>commingled_fund</t>
        </is>
      </c>
      <c r="C144" s="6" t="n">
        <v>0.0591</v>
      </c>
      <c r="D144" s="6" t="n">
        <v>0.0495</v>
      </c>
      <c r="E144" s="6" t="n">
        <v>0.009599999999999999</v>
      </c>
      <c r="F144" s="7" t="n">
        <v>0.052527</v>
      </c>
      <c r="G144" s="8" t="n">
        <v>26632.9441</v>
      </c>
      <c r="H144" s="8" t="n">
        <v>4799.485334</v>
      </c>
      <c r="I144" s="6" t="n">
        <v>0</v>
      </c>
      <c r="J144" s="6" t="n">
        <v>0</v>
      </c>
    </row>
    <row r="145">
      <c r="A145" s="5" t="inlineStr">
        <is>
          <t>2024-06</t>
        </is>
      </c>
      <c r="B145" s="5" t="inlineStr">
        <is>
          <t>commingled_fund</t>
        </is>
      </c>
      <c r="C145" s="6" t="n">
        <v>0.0713</v>
      </c>
      <c r="D145" s="6" t="n">
        <v>0.0358</v>
      </c>
      <c r="E145" s="6" t="n">
        <v>0.0355</v>
      </c>
      <c r="F145" s="7" t="n">
        <v>0.052442</v>
      </c>
      <c r="G145" s="8" t="n">
        <v>28531.873014</v>
      </c>
      <c r="H145" s="8" t="n">
        <v>4971.306909</v>
      </c>
      <c r="I145" s="6" t="n">
        <v>0</v>
      </c>
      <c r="J145" s="6" t="n">
        <v>0</v>
      </c>
    </row>
    <row r="146">
      <c r="A146" s="5" t="inlineStr">
        <is>
          <t>2024-07</t>
        </is>
      </c>
      <c r="B146" s="5" t="inlineStr">
        <is>
          <t>commingled_fund</t>
        </is>
      </c>
      <c r="C146" s="6" t="n">
        <v>-0.0189</v>
      </c>
      <c r="D146" s="6" t="n">
        <v>0.0121</v>
      </c>
      <c r="E146" s="6" t="n">
        <v>-0.031</v>
      </c>
      <c r="F146" s="7" t="n">
        <v>0.05199499999999999</v>
      </c>
      <c r="G146" s="8" t="n">
        <v>27992.620615</v>
      </c>
      <c r="H146" s="8" t="n">
        <v>5031.459723</v>
      </c>
      <c r="I146" s="6" t="n">
        <v>-0.0189</v>
      </c>
      <c r="J146" s="6" t="n">
        <v>0</v>
      </c>
    </row>
    <row r="147">
      <c r="A147" s="5" t="inlineStr">
        <is>
          <t>2024-08</t>
        </is>
      </c>
      <c r="B147" s="5" t="inlineStr">
        <is>
          <t>commingled_fund</t>
        </is>
      </c>
      <c r="C147" s="6" t="n">
        <v>0.08400000000000001</v>
      </c>
      <c r="D147" s="6" t="n">
        <v>0.0242</v>
      </c>
      <c r="E147" s="6" t="n">
        <v>0.05980000000000001</v>
      </c>
      <c r="F147" s="7" t="n">
        <v>0.050473</v>
      </c>
      <c r="G147" s="8" t="n">
        <v>30344.000746</v>
      </c>
      <c r="H147" s="8" t="n">
        <v>5153.221048</v>
      </c>
      <c r="I147" s="6" t="n">
        <v>0</v>
      </c>
      <c r="J147" s="6" t="n">
        <v>0</v>
      </c>
    </row>
    <row r="148">
      <c r="A148" s="5" t="inlineStr">
        <is>
          <t>2024-09</t>
        </is>
      </c>
      <c r="B148" s="5" t="inlineStr">
        <is>
          <t>commingled_fund</t>
        </is>
      </c>
      <c r="C148" s="6" t="n">
        <v>0.0008</v>
      </c>
      <c r="D148" s="6" t="n">
        <v>0.0213</v>
      </c>
      <c r="E148" s="6" t="n">
        <v>-0.0205</v>
      </c>
      <c r="F148" s="7" t="n">
        <v>0.04722000000000001</v>
      </c>
      <c r="G148" s="8" t="n">
        <v>30368.275947</v>
      </c>
      <c r="H148" s="8" t="n">
        <v>5262.984657</v>
      </c>
      <c r="I148" s="6" t="n">
        <v>0</v>
      </c>
      <c r="J148" s="6" t="n">
        <v>0</v>
      </c>
    </row>
    <row r="149">
      <c r="A149" s="5" t="inlineStr">
        <is>
          <t>2024-10</t>
        </is>
      </c>
      <c r="B149" s="5" t="inlineStr">
        <is>
          <t>commingled_fund</t>
        </is>
      </c>
      <c r="C149" s="6" t="n">
        <v>-0.0492</v>
      </c>
      <c r="D149" s="6" t="n">
        <v>-0.0092</v>
      </c>
      <c r="E149" s="6" t="n">
        <v>-0.04</v>
      </c>
      <c r="F149" s="7" t="n">
        <v>0.045111</v>
      </c>
      <c r="G149" s="8" t="n">
        <v>28874.15677</v>
      </c>
      <c r="H149" s="8" t="n">
        <v>5214.565198</v>
      </c>
      <c r="I149" s="6" t="n">
        <v>-0.0492</v>
      </c>
      <c r="J149" s="6" t="n">
        <v>-0.0092</v>
      </c>
    </row>
    <row r="150">
      <c r="A150" s="5" t="inlineStr">
        <is>
          <t>2024-11</t>
        </is>
      </c>
      <c r="B150" s="5" t="inlineStr">
        <is>
          <t>commingled_fund</t>
        </is>
      </c>
      <c r="C150" s="6" t="n">
        <v>0.0121</v>
      </c>
      <c r="D150" s="6" t="n">
        <v>0.05860000000000001</v>
      </c>
      <c r="E150" s="6" t="n">
        <v>-0.04650000000000001</v>
      </c>
      <c r="F150" s="7" t="n">
        <v>0.04418999999999999</v>
      </c>
      <c r="G150" s="8" t="n">
        <v>29223.534067</v>
      </c>
      <c r="H150" s="8" t="n">
        <v>5520.138718</v>
      </c>
      <c r="I150" s="6" t="n">
        <v>-0.03769532</v>
      </c>
      <c r="J150" s="6" t="n">
        <v>0</v>
      </c>
    </row>
    <row r="151">
      <c r="A151" s="5" t="inlineStr">
        <is>
          <t>2024-12</t>
        </is>
      </c>
      <c r="B151" s="5" t="inlineStr">
        <is>
          <t>commingled_fund</t>
        </is>
      </c>
      <c r="C151" s="6" t="n">
        <v>0.0023</v>
      </c>
      <c r="D151" s="6" t="n">
        <v>-0.0239</v>
      </c>
      <c r="E151" s="6" t="n">
        <v>0.0262</v>
      </c>
      <c r="F151" s="7" t="n">
        <v>0.042705</v>
      </c>
      <c r="G151" s="8" t="n">
        <v>29290.748195</v>
      </c>
      <c r="H151" s="8" t="n">
        <v>5388.207403</v>
      </c>
      <c r="I151" s="6" t="n">
        <v>-0.03548202</v>
      </c>
      <c r="J151" s="6" t="n">
        <v>-0.0239</v>
      </c>
    </row>
    <row r="152">
      <c r="A152" s="5" t="inlineStr">
        <is>
          <t>2025-01</t>
        </is>
      </c>
      <c r="B152" s="5" t="inlineStr">
        <is>
          <t>commingled_fund</t>
        </is>
      </c>
      <c r="C152" s="6" t="n">
        <v>0.1231</v>
      </c>
      <c r="D152" s="6" t="n">
        <v>0.0278</v>
      </c>
      <c r="E152" s="6" t="n">
        <v>0.09530000000000001</v>
      </c>
      <c r="F152" s="7" t="n">
        <v>0.0421</v>
      </c>
      <c r="G152" s="8" t="n">
        <v>32896.439298</v>
      </c>
      <c r="H152" s="8" t="n">
        <v>5537.999569</v>
      </c>
      <c r="I152" s="6" t="n">
        <v>0</v>
      </c>
      <c r="J152" s="6" t="n">
        <v>0</v>
      </c>
    </row>
    <row r="153">
      <c r="A153" s="5" t="inlineStr">
        <is>
          <t>2025-02</t>
        </is>
      </c>
      <c r="B153" s="5" t="inlineStr">
        <is>
          <t>commingled_fund</t>
        </is>
      </c>
      <c r="C153" s="6" t="n">
        <v>-0.0635</v>
      </c>
      <c r="D153" s="6" t="n">
        <v>-0.0131</v>
      </c>
      <c r="E153" s="6" t="n">
        <v>-0.05039999999999999</v>
      </c>
      <c r="F153" s="7" t="n">
        <v>0.042158</v>
      </c>
      <c r="G153" s="8" t="n">
        <v>30807.515403</v>
      </c>
      <c r="H153" s="8" t="n">
        <v>5465.451774</v>
      </c>
      <c r="I153" s="6" t="n">
        <v>-0.0635</v>
      </c>
      <c r="J153" s="6" t="n">
        <v>-0.0131</v>
      </c>
    </row>
    <row r="154">
      <c r="A154" s="5" t="inlineStr">
        <is>
          <t>2025-03</t>
        </is>
      </c>
      <c r="B154" s="5" t="inlineStr">
        <is>
          <t>commingled_fund</t>
        </is>
      </c>
      <c r="C154" s="6" t="n">
        <v>-0.0755</v>
      </c>
      <c r="D154" s="6" t="n">
        <v>-0.0564</v>
      </c>
      <c r="E154" s="6" t="n">
        <v>-0.0191</v>
      </c>
      <c r="F154" s="7" t="n">
        <v>0.041995</v>
      </c>
      <c r="G154" s="8" t="n">
        <v>28481.54799</v>
      </c>
      <c r="H154" s="8" t="n">
        <v>5157.200294</v>
      </c>
      <c r="I154" s="6" t="n">
        <v>-0.13420575</v>
      </c>
      <c r="J154" s="6" t="n">
        <v>-0.06876116</v>
      </c>
    </row>
    <row r="155">
      <c r="A155" s="5" t="inlineStr">
        <is>
          <t>2025-04</t>
        </is>
      </c>
      <c r="B155" s="5" t="inlineStr">
        <is>
          <t>commingled_fund</t>
        </is>
      </c>
      <c r="C155" s="6" t="n">
        <v>0.04940000000000001</v>
      </c>
      <c r="D155" s="6" t="n">
        <v>-0.0069</v>
      </c>
      <c r="E155" s="6" t="n">
        <v>0.05630000000000001</v>
      </c>
      <c r="F155" s="7" t="n">
        <v>0.04209</v>
      </c>
      <c r="G155" s="8" t="n">
        <v>29888.536461</v>
      </c>
      <c r="H155" s="8" t="n">
        <v>5121.615612</v>
      </c>
      <c r="I155" s="6" t="n">
        <v>-0.09143551</v>
      </c>
      <c r="J155" s="6" t="n">
        <v>-0.07518671</v>
      </c>
    </row>
    <row r="156">
      <c r="A156" s="5" t="inlineStr">
        <is>
          <t>2025-05</t>
        </is>
      </c>
      <c r="B156" s="5" t="inlineStr">
        <is>
          <t>commingled_fund</t>
        </is>
      </c>
      <c r="C156" s="6" t="n">
        <v>0.0411</v>
      </c>
      <c r="D156" s="6" t="n">
        <v>0.0629</v>
      </c>
      <c r="E156" s="6" t="n">
        <v>-0.0218</v>
      </c>
      <c r="F156" s="7" t="n">
        <v>0.04247099999999999</v>
      </c>
      <c r="G156" s="8" t="n">
        <v>31116.955309</v>
      </c>
      <c r="H156" s="8" t="n">
        <v>5443.765234</v>
      </c>
      <c r="I156" s="6" t="n">
        <v>-0.05409351</v>
      </c>
      <c r="J156" s="6" t="n">
        <v>-0.01701595</v>
      </c>
    </row>
    <row r="157">
      <c r="A157" s="5" t="inlineStr">
        <is>
          <t>2025-06</t>
        </is>
      </c>
      <c r="B157" s="5" t="inlineStr">
        <is>
          <t>commingled_fund</t>
        </is>
      </c>
      <c r="C157" s="6" t="n">
        <v>0.1008</v>
      </c>
      <c r="D157" s="6" t="n">
        <v>0.0508</v>
      </c>
      <c r="E157" s="6" t="n">
        <v>0.05</v>
      </c>
      <c r="F157" s="7" t="n">
        <v>0.042335</v>
      </c>
      <c r="G157" s="8" t="n">
        <v>34253.544404</v>
      </c>
      <c r="H157" s="8" t="n">
        <v>5720.308508</v>
      </c>
      <c r="I157" s="6" t="n">
        <v>0</v>
      </c>
      <c r="J157" s="6" t="n">
        <v>0</v>
      </c>
    </row>
    <row r="158">
      <c r="A158" s="5" t="inlineStr">
        <is>
          <t>2025-07</t>
        </is>
      </c>
      <c r="B158" s="5" t="inlineStr">
        <is>
          <t>commingled_fund</t>
        </is>
      </c>
      <c r="C158" s="6" t="n">
        <v>0.06419999999999999</v>
      </c>
      <c r="D158" s="6" t="n">
        <v>0.0224</v>
      </c>
      <c r="E158" s="6" t="n">
        <v>0.0418</v>
      </c>
      <c r="F158" s="7" t="n">
        <v>0.042477</v>
      </c>
      <c r="G158" s="8" t="n">
        <v>36452.621955</v>
      </c>
      <c r="H158" s="8" t="n">
        <v>5848.443419</v>
      </c>
      <c r="I158" s="6" t="n">
        <v>0</v>
      </c>
      <c r="J158" s="6" t="n">
        <v>0</v>
      </c>
    </row>
    <row r="159">
      <c r="A159" s="5" t="inlineStr">
        <is>
          <t>2025-08</t>
        </is>
      </c>
      <c r="B159" s="5" t="inlineStr">
        <is>
          <t>commingled_fund</t>
        </is>
      </c>
      <c r="C159" s="6" t="n">
        <v>0.0646</v>
      </c>
      <c r="D159" s="6" t="n">
        <v>0.0202</v>
      </c>
      <c r="E159" s="6" t="n">
        <v>0.0444</v>
      </c>
      <c r="F159" s="7" t="n">
        <v>0.041238</v>
      </c>
      <c r="G159" s="8" t="n">
        <v>38807.461333</v>
      </c>
      <c r="H159" s="8" t="n">
        <v>5966.581976</v>
      </c>
      <c r="I159" s="6" t="n">
        <v>0</v>
      </c>
      <c r="J159" s="6" t="n">
        <v>0</v>
      </c>
    </row>
    <row r="160">
      <c r="A160" s="5" t="inlineStr">
        <is>
          <t>2025-09</t>
        </is>
      </c>
      <c r="B160" s="5" t="inlineStr">
        <is>
          <t>commingled_fund</t>
        </is>
      </c>
      <c r="C160" s="6" t="n">
        <v>0.0487</v>
      </c>
      <c r="D160" s="6" t="n">
        <v>0.0364</v>
      </c>
      <c r="E160" s="6" t="n">
        <v>0.0123</v>
      </c>
      <c r="F160" s="7" t="n">
        <v>0.039176</v>
      </c>
      <c r="G160" s="8" t="n">
        <v>40697.3847</v>
      </c>
      <c r="H160" s="8" t="n">
        <v>6183.76556</v>
      </c>
      <c r="I160" s="6" t="n">
        <v>0</v>
      </c>
      <c r="J160" s="6" t="n">
        <v>0</v>
      </c>
    </row>
    <row r="161">
      <c r="A161" s="5" t="inlineStr">
        <is>
          <t>2025-10</t>
        </is>
      </c>
      <c r="B161" s="5" t="inlineStr">
        <is>
          <t>commingled_fund</t>
        </is>
      </c>
      <c r="C161" s="6" t="n">
        <v>0.04190000000000001</v>
      </c>
      <c r="D161" s="6" t="n">
        <v>0.0233</v>
      </c>
      <c r="E161" s="6" t="n">
        <v>0.0186</v>
      </c>
      <c r="F161" s="7" t="n">
        <v>0.038193</v>
      </c>
      <c r="G161" s="8" t="n">
        <v>42402.605119</v>
      </c>
      <c r="H161" s="8" t="n">
        <v>6327.847297</v>
      </c>
      <c r="I161" s="6" t="n">
        <v>0</v>
      </c>
      <c r="J161" s="6" t="n">
        <v>0</v>
      </c>
    </row>
    <row r="162">
      <c r="A162" s="5" t="inlineStr">
        <is>
          <t>2025-11</t>
        </is>
      </c>
      <c r="B162" s="5" t="inlineStr">
        <is>
          <t>commingled_fund</t>
        </is>
      </c>
      <c r="C162" s="6" t="n">
        <v>-0.028</v>
      </c>
      <c r="D162" s="6" t="n">
        <v>0.0024</v>
      </c>
      <c r="E162" s="6" t="n">
        <v>-0.0304</v>
      </c>
      <c r="F162" s="7" t="n">
        <v>0.037795</v>
      </c>
      <c r="G162" s="8" t="n">
        <v>41215.332176</v>
      </c>
      <c r="H162" s="8" t="n">
        <v>6343.034131</v>
      </c>
      <c r="I162" s="6" t="n">
        <v>-0.028</v>
      </c>
      <c r="J162" s="6" t="n">
        <v>0</v>
      </c>
    </row>
    <row r="163">
      <c r="A163" s="5" t="inlineStr">
        <is>
          <t>2025-12</t>
        </is>
      </c>
      <c r="B163" s="5" t="inlineStr">
        <is>
          <t>commingled_fund</t>
        </is>
      </c>
      <c r="C163" s="6" t="n">
        <v>0.011</v>
      </c>
      <c r="D163" s="6" t="n">
        <v>0.0005</v>
      </c>
      <c r="E163" s="6" t="n">
        <v>0.0105</v>
      </c>
      <c r="F163" s="7" t="n">
        <v>0.036007</v>
      </c>
      <c r="G163" s="8" t="n">
        <v>41668.70083</v>
      </c>
      <c r="H163" s="8" t="n">
        <v>6346.205648</v>
      </c>
      <c r="I163" s="6" t="n">
        <v>-0.017308</v>
      </c>
      <c r="J163" s="6" t="n">
        <v>0</v>
      </c>
    </row>
    <row r="164">
      <c r="A164" s="5" t="inlineStr">
        <is>
          <t>2026-01</t>
        </is>
      </c>
      <c r="B164" s="5" t="inlineStr">
        <is>
          <t>commingled_fund</t>
        </is>
      </c>
      <c r="C164" s="6" t="n">
        <v>-0.0275</v>
      </c>
      <c r="D164" s="6" t="n">
        <v>0.0144</v>
      </c>
      <c r="E164" s="6" t="n">
        <v>-0.04189999999999999</v>
      </c>
      <c r="F164" s="7" t="n">
        <v>0.036007</v>
      </c>
      <c r="G164" s="8" t="n">
        <v>40522.811557</v>
      </c>
      <c r="H164" s="8" t="n">
        <v>6437.591009</v>
      </c>
      <c r="I164" s="6" t="n">
        <v>-0.04433202999999999</v>
      </c>
      <c r="J164" s="6" t="n">
        <v>0</v>
      </c>
    </row>
    <row r="165">
      <c r="A165" s="5" t="inlineStr">
        <is>
          <t>2026-02</t>
        </is>
      </c>
      <c r="B165" s="5" t="inlineStr">
        <is>
          <t>commingled_fund</t>
        </is>
      </c>
      <c r="C165" s="6" t="n">
        <v>0.009899999999999999</v>
      </c>
      <c r="D165" s="6" t="n">
        <v>-0.0077</v>
      </c>
      <c r="E165" s="6" t="n">
        <v>0.0176</v>
      </c>
      <c r="F165" s="7" t="n">
        <v>0.036007</v>
      </c>
      <c r="G165" s="8" t="n">
        <v>40923.987391</v>
      </c>
      <c r="H165" s="8" t="n">
        <v>6388.021559</v>
      </c>
      <c r="I165" s="6" t="n">
        <v>-0.03487092</v>
      </c>
      <c r="J165" s="6" t="n">
        <v>-0.0077</v>
      </c>
    </row>
    <row r="166">
      <c r="A166" s="5" t="inlineStr">
        <is>
          <t>2026-03</t>
        </is>
      </c>
      <c r="B166" s="5" t="inlineStr">
        <is>
          <t>commingled_fund</t>
        </is>
      </c>
      <c r="C166" s="6" t="n">
        <v>-0.0474</v>
      </c>
      <c r="D166" s="6" t="n">
        <v>-0.0499</v>
      </c>
      <c r="E166" s="6" t="n">
        <v>0.0025</v>
      </c>
      <c r="F166" s="7" t="n">
        <v>0.036007</v>
      </c>
      <c r="G166" s="8" t="n">
        <v>38984.190389</v>
      </c>
      <c r="H166" s="8" t="n">
        <v>6069.259283</v>
      </c>
      <c r="I166" s="6" t="n">
        <v>-0.08061804</v>
      </c>
      <c r="J166" s="6" t="n">
        <v>-0.05721577</v>
      </c>
    </row>
    <row r="167">
      <c r="A167" s="5" t="inlineStr">
        <is>
          <t>2026-04</t>
        </is>
      </c>
      <c r="B167" s="5" t="inlineStr">
        <is>
          <t>commingled_fund</t>
        </is>
      </c>
      <c r="C167" s="6" t="n">
        <v>0.0848</v>
      </c>
      <c r="D167" s="6" t="n">
        <v>0.1048</v>
      </c>
      <c r="E167" s="6" t="n">
        <v>-0.02</v>
      </c>
      <c r="F167" s="7" t="n">
        <v>0.036007</v>
      </c>
      <c r="G167" s="8" t="n">
        <v>42290.049734</v>
      </c>
      <c r="H167" s="8" t="n">
        <v>6705.317656</v>
      </c>
      <c r="I167" s="6" t="n">
        <v>-0.00265445</v>
      </c>
      <c r="J167" s="6" t="n">
        <v>0</v>
      </c>
    </row>
    <row r="168">
      <c r="A168" s="5" t="inlineStr">
        <is>
          <t>2026-05</t>
        </is>
      </c>
      <c r="B168" s="5" t="inlineStr">
        <is>
          <t>commingled_fund</t>
        </is>
      </c>
      <c r="C168" s="6" t="n">
        <v>0.0473</v>
      </c>
      <c r="D168" s="6" t="n">
        <v>0.0526</v>
      </c>
      <c r="E168" s="6" t="n">
        <v>-0.005299999999999994</v>
      </c>
      <c r="F168" s="7" t="n">
        <v>0.036007</v>
      </c>
      <c r="G168" s="8" t="n">
        <v>44290.369087</v>
      </c>
      <c r="H168" s="8" t="n">
        <v>7058.017364</v>
      </c>
      <c r="I168" s="6" t="n">
        <v>0</v>
      </c>
      <c r="J168" s="6" t="n">
        <v>0</v>
      </c>
    </row>
    <row r="169">
      <c r="A169" s="5" t="inlineStr">
        <is>
          <t>2026-06</t>
        </is>
      </c>
      <c r="B169" s="5" t="inlineStr">
        <is>
          <t>commingled_fund</t>
        </is>
      </c>
      <c r="C169" s="6" t="n">
        <v>-0.0017</v>
      </c>
      <c r="D169" s="6" t="n">
        <v>-0.009599999999999999</v>
      </c>
      <c r="E169" s="6" t="n">
        <v>0.007899999999999999</v>
      </c>
      <c r="F169" s="7" t="n">
        <v>0.036007</v>
      </c>
      <c r="G169" s="8" t="n">
        <v>44215.075459</v>
      </c>
      <c r="H169" s="8" t="n">
        <v>6990.260398</v>
      </c>
      <c r="I169" s="6" t="n">
        <v>-0.0017</v>
      </c>
      <c r="J169" s="6" t="n">
        <v>-0.009599999999999999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3" customWidth="1" min="3" max="3"/>
    <col width="24" customWidth="1" min="4" max="4"/>
    <col width="24" customWidth="1" min="5" max="5"/>
    <col width="23" customWidth="1" min="6" max="6"/>
    <col width="23" customWidth="1" min="7" max="7"/>
    <col width="24" customWidth="1" min="8" max="8"/>
    <col width="22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14" customWidth="1" min="15" max="15"/>
    <col width="14" customWidth="1" min="16" max="16"/>
  </cols>
  <sheetData>
    <row r="1">
      <c r="A1" s="4" t="inlineStr">
        <is>
          <t>Year</t>
        </is>
      </c>
      <c r="B1" s="4" t="inlineStr">
        <is>
          <t>Series</t>
        </is>
      </c>
      <c r="C1" s="4" t="inlineStr">
        <is>
          <t>Jan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Apr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Aug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4" t="inlineStr">
        <is>
          <t>Dec</t>
        </is>
      </c>
      <c r="O1" s="4" t="inlineStr">
        <is>
          <t>Year (compounded)</t>
        </is>
      </c>
      <c r="P1" s="4" t="inlineStr">
        <is>
          <t>Year published</t>
        </is>
      </c>
    </row>
    <row r="2">
      <c r="A2" s="9" t="n">
        <v>2012</v>
      </c>
      <c r="B2" s="9" t="inlineStr">
        <is>
          <t>Strategy</t>
        </is>
      </c>
      <c r="C2" s="10" t="n"/>
      <c r="D2" s="10" t="n"/>
      <c r="E2" s="10" t="n"/>
      <c r="F2" s="10" t="n"/>
      <c r="G2" s="10" t="n"/>
      <c r="H2" s="10" t="n"/>
      <c r="I2" s="10" t="n">
        <v>-0.0015</v>
      </c>
      <c r="J2" s="10" t="n">
        <v>0.0673</v>
      </c>
      <c r="K2" s="10" t="n">
        <v>0.035</v>
      </c>
      <c r="L2" s="10" t="n">
        <v>-0.0127</v>
      </c>
      <c r="M2" s="10" t="n">
        <v>-0.0231</v>
      </c>
      <c r="N2" s="10" t="n">
        <v>0.04190000000000001</v>
      </c>
      <c r="O2" s="10" t="n">
        <v>0.1084094328236151</v>
      </c>
      <c r="P2" s="10" t="n">
        <v>0.1084</v>
      </c>
    </row>
    <row r="3">
      <c r="A3" s="11" t="n"/>
      <c r="B3" s="11" t="inlineStr">
        <is>
          <t>SPY</t>
        </is>
      </c>
      <c r="C3" s="12" t="n"/>
      <c r="D3" s="12" t="n"/>
      <c r="E3" s="12" t="n"/>
      <c r="F3" s="12" t="n"/>
      <c r="G3" s="12" t="n"/>
      <c r="H3" s="12" t="n"/>
      <c r="I3" s="12" t="n">
        <v>0.0113</v>
      </c>
      <c r="J3" s="12" t="n">
        <v>0.0224</v>
      </c>
      <c r="K3" s="12" t="n">
        <v>0.0258</v>
      </c>
      <c r="L3" s="12" t="n">
        <v>-0.0185</v>
      </c>
      <c r="M3" s="12" t="n">
        <v>0.005699999999999999</v>
      </c>
      <c r="N3" s="12" t="n">
        <v>0.009000000000000001</v>
      </c>
      <c r="O3" s="12" t="n">
        <v>0.05636368547282711</v>
      </c>
      <c r="P3" s="12" t="n">
        <v>0.0563</v>
      </c>
    </row>
    <row r="4">
      <c r="A4" s="9" t="n">
        <v>2013</v>
      </c>
      <c r="B4" s="9" t="inlineStr">
        <is>
          <t>Strategy</t>
        </is>
      </c>
      <c r="C4" s="10" t="n">
        <v>0.0016</v>
      </c>
      <c r="D4" s="10" t="n">
        <v>0.0467</v>
      </c>
      <c r="E4" s="10" t="n">
        <v>0.0486</v>
      </c>
      <c r="F4" s="10" t="n">
        <v>0.027</v>
      </c>
      <c r="G4" s="10" t="n">
        <v>0.0353</v>
      </c>
      <c r="H4" s="10" t="n">
        <v>-0.0353</v>
      </c>
      <c r="I4" s="10" t="n">
        <v>0.0571</v>
      </c>
      <c r="J4" s="10" t="n">
        <v>-0.009000000000000001</v>
      </c>
      <c r="K4" s="10" t="n">
        <v>0.014</v>
      </c>
      <c r="L4" s="10" t="n">
        <v>0.0206</v>
      </c>
      <c r="M4" s="10" t="n">
        <v>0.0493</v>
      </c>
      <c r="N4" s="10" t="n">
        <v>0.0337</v>
      </c>
      <c r="O4" s="10" t="n">
        <v>0.3259671504765027</v>
      </c>
      <c r="P4" s="10" t="n">
        <v>0.326</v>
      </c>
    </row>
    <row r="5">
      <c r="A5" s="11" t="n"/>
      <c r="B5" s="11" t="inlineStr">
        <is>
          <t>SPY</t>
        </is>
      </c>
      <c r="C5" s="12" t="n">
        <v>0.0517</v>
      </c>
      <c r="D5" s="12" t="n">
        <v>0.0135</v>
      </c>
      <c r="E5" s="12" t="n">
        <v>0.0374</v>
      </c>
      <c r="F5" s="12" t="n">
        <v>0.0192</v>
      </c>
      <c r="G5" s="12" t="n">
        <v>0.0233</v>
      </c>
      <c r="H5" s="12" t="n">
        <v>-0.0135</v>
      </c>
      <c r="I5" s="12" t="n">
        <v>0.0508</v>
      </c>
      <c r="J5" s="12" t="n">
        <v>-0.029</v>
      </c>
      <c r="K5" s="12" t="n">
        <v>0.0313</v>
      </c>
      <c r="L5" s="12" t="n">
        <v>0.0459</v>
      </c>
      <c r="M5" s="12" t="n">
        <v>0.0304</v>
      </c>
      <c r="N5" s="12" t="n">
        <v>0.0252</v>
      </c>
      <c r="O5" s="12" t="n">
        <v>0.322666248959891</v>
      </c>
      <c r="P5" s="12" t="n">
        <v>0.3226</v>
      </c>
    </row>
    <row r="6">
      <c r="A6" s="9" t="n">
        <v>2014</v>
      </c>
      <c r="B6" s="9" t="inlineStr">
        <is>
          <t>Strategy</t>
        </is>
      </c>
      <c r="C6" s="10" t="n">
        <v>0.0151</v>
      </c>
      <c r="D6" s="10" t="n">
        <v>0.0336</v>
      </c>
      <c r="E6" s="10" t="n">
        <v>0.0278</v>
      </c>
      <c r="F6" s="10" t="n">
        <v>0.0105</v>
      </c>
      <c r="G6" s="10" t="n">
        <v>0.0352</v>
      </c>
      <c r="H6" s="10" t="n">
        <v>0.008100000000000001</v>
      </c>
      <c r="I6" s="10" t="n">
        <v>-0.0008</v>
      </c>
      <c r="J6" s="10" t="n">
        <v>0.038</v>
      </c>
      <c r="K6" s="10" t="n">
        <v>0.0298</v>
      </c>
      <c r="L6" s="10" t="n">
        <v>-0.0194</v>
      </c>
      <c r="M6" s="10" t="n">
        <v>0.0107</v>
      </c>
      <c r="N6" s="10" t="n">
        <v>-0.0619</v>
      </c>
      <c r="O6" s="10" t="n">
        <v>0.129275990290177</v>
      </c>
      <c r="P6" s="10" t="n">
        <v>0.1293</v>
      </c>
    </row>
    <row r="7">
      <c r="A7" s="11" t="n"/>
      <c r="B7" s="11" t="inlineStr">
        <is>
          <t>SPY</t>
        </is>
      </c>
      <c r="C7" s="12" t="n">
        <v>-0.0346</v>
      </c>
      <c r="D7" s="12" t="n">
        <v>0.0457</v>
      </c>
      <c r="E7" s="12" t="n">
        <v>0.0083</v>
      </c>
      <c r="F7" s="12" t="n">
        <v>0.0073</v>
      </c>
      <c r="G7" s="12" t="n">
        <v>0.0234</v>
      </c>
      <c r="H7" s="12" t="n">
        <v>0.0206</v>
      </c>
      <c r="I7" s="12" t="n">
        <v>-0.0139</v>
      </c>
      <c r="J7" s="12" t="n">
        <v>0.0399</v>
      </c>
      <c r="K7" s="12" t="n">
        <v>-0.0141</v>
      </c>
      <c r="L7" s="12" t="n">
        <v>0.0243</v>
      </c>
      <c r="M7" s="12" t="n">
        <v>0.0268</v>
      </c>
      <c r="N7" s="12" t="n">
        <v>-0.0026</v>
      </c>
      <c r="O7" s="12" t="n">
        <v>0.1357736282451578</v>
      </c>
      <c r="P7" s="12" t="n">
        <v>0.1358</v>
      </c>
    </row>
    <row r="8">
      <c r="A8" s="9" t="n">
        <v>2015</v>
      </c>
      <c r="B8" s="9" t="inlineStr">
        <is>
          <t>Strategy</t>
        </is>
      </c>
      <c r="C8" s="10" t="n">
        <v>0.009599999999999999</v>
      </c>
      <c r="D8" s="10" t="n">
        <v>0.0478</v>
      </c>
      <c r="E8" s="10" t="n">
        <v>-0.0036</v>
      </c>
      <c r="F8" s="10" t="n">
        <v>-0.0067</v>
      </c>
      <c r="G8" s="10" t="n">
        <v>0.0121</v>
      </c>
      <c r="H8" s="10" t="n">
        <v>-0.1065</v>
      </c>
      <c r="I8" s="10" t="n">
        <v>0.0469</v>
      </c>
      <c r="J8" s="10" t="n">
        <v>-0.0479</v>
      </c>
      <c r="K8" s="10" t="n">
        <v>0.0061</v>
      </c>
      <c r="L8" s="10" t="n">
        <v>0.08990000000000001</v>
      </c>
      <c r="M8" s="10" t="n">
        <v>0.0189</v>
      </c>
      <c r="N8" s="10" t="n">
        <v>0.0428</v>
      </c>
      <c r="O8" s="10" t="n">
        <v>0.0995323798900245</v>
      </c>
      <c r="P8" s="10" t="n">
        <v>0.09949999999999999</v>
      </c>
    </row>
    <row r="9">
      <c r="A9" s="11" t="n"/>
      <c r="B9" s="11" t="inlineStr">
        <is>
          <t>SPY</t>
        </is>
      </c>
      <c r="C9" s="12" t="n">
        <v>-0.0301</v>
      </c>
      <c r="D9" s="12" t="n">
        <v>0.0574</v>
      </c>
      <c r="E9" s="12" t="n">
        <v>-0.0159</v>
      </c>
      <c r="F9" s="12" t="n">
        <v>0.0095</v>
      </c>
      <c r="G9" s="12" t="n">
        <v>0.0128</v>
      </c>
      <c r="H9" s="12" t="n">
        <v>-0.0194</v>
      </c>
      <c r="I9" s="12" t="n">
        <v>0.0209</v>
      </c>
      <c r="J9" s="12" t="n">
        <v>-0.0604</v>
      </c>
      <c r="K9" s="12" t="n">
        <v>-0.0248</v>
      </c>
      <c r="L9" s="12" t="n">
        <v>0.0843</v>
      </c>
      <c r="M9" s="12" t="n">
        <v>0.0029</v>
      </c>
      <c r="N9" s="12" t="n">
        <v>-0.0159</v>
      </c>
      <c r="O9" s="12" t="n">
        <v>0.01296310520368338</v>
      </c>
      <c r="P9" s="12" t="n">
        <v>0.0129</v>
      </c>
    </row>
    <row r="10">
      <c r="A10" s="9" t="n">
        <v>2016</v>
      </c>
      <c r="B10" s="9" t="inlineStr">
        <is>
          <t>Strategy</t>
        </is>
      </c>
      <c r="C10" s="10" t="n">
        <v>0</v>
      </c>
      <c r="D10" s="10" t="n">
        <v>-0.0235</v>
      </c>
      <c r="E10" s="10" t="n">
        <v>0.0819</v>
      </c>
      <c r="F10" s="10" t="n">
        <v>0.009399999999999999</v>
      </c>
      <c r="G10" s="10" t="n">
        <v>0.019</v>
      </c>
      <c r="H10" s="10" t="n">
        <v>0.0392</v>
      </c>
      <c r="I10" s="10" t="n">
        <v>0.0403</v>
      </c>
      <c r="J10" s="10" t="n">
        <v>-0.0001</v>
      </c>
      <c r="K10" s="10" t="n">
        <v>0.0267</v>
      </c>
      <c r="L10" s="10" t="n">
        <v>0.0059</v>
      </c>
      <c r="M10" s="10" t="n">
        <v>0.0276</v>
      </c>
      <c r="N10" s="10" t="n">
        <v>-0.0218</v>
      </c>
      <c r="O10" s="10" t="n">
        <v>0.2194423737220603</v>
      </c>
      <c r="P10" s="10" t="n">
        <v>0.2194</v>
      </c>
    </row>
    <row r="11">
      <c r="A11" s="11" t="n"/>
      <c r="B11" s="11" t="inlineStr">
        <is>
          <t>SPY</t>
        </is>
      </c>
      <c r="C11" s="12" t="n">
        <v>-0.04969999999999999</v>
      </c>
      <c r="D11" s="12" t="n">
        <v>-0.0014</v>
      </c>
      <c r="E11" s="12" t="n">
        <v>0.0678</v>
      </c>
      <c r="F11" s="12" t="n">
        <v>0.0038</v>
      </c>
      <c r="G11" s="12" t="n">
        <v>0.0179</v>
      </c>
      <c r="H11" s="12" t="n">
        <v>0.0025</v>
      </c>
      <c r="I11" s="12" t="n">
        <v>0.0368</v>
      </c>
      <c r="J11" s="12" t="n">
        <v>0.0013</v>
      </c>
      <c r="K11" s="12" t="n">
        <v>0.0001</v>
      </c>
      <c r="L11" s="12" t="n">
        <v>-0.0183</v>
      </c>
      <c r="M11" s="12" t="n">
        <v>0.03700000000000001</v>
      </c>
      <c r="N11" s="12" t="n">
        <v>0.0197</v>
      </c>
      <c r="O11" s="12" t="n">
        <v>0.1186944749173884</v>
      </c>
      <c r="P11" s="12" t="n">
        <v>0.1185</v>
      </c>
    </row>
    <row r="12">
      <c r="A12" s="9" t="n">
        <v>2017</v>
      </c>
      <c r="B12" s="9" t="inlineStr">
        <is>
          <t>Strategy</t>
        </is>
      </c>
      <c r="C12" s="10" t="n">
        <v>0.03240000000000001</v>
      </c>
      <c r="D12" s="10" t="n">
        <v>0.0075</v>
      </c>
      <c r="E12" s="10" t="n">
        <v>0.0052</v>
      </c>
      <c r="F12" s="10" t="n">
        <v>0.0252</v>
      </c>
      <c r="G12" s="10" t="n">
        <v>0.0237</v>
      </c>
      <c r="H12" s="10" t="n">
        <v>-0.0216</v>
      </c>
      <c r="I12" s="10" t="n">
        <v>0.0426</v>
      </c>
      <c r="J12" s="10" t="n">
        <v>0.0022</v>
      </c>
      <c r="K12" s="10" t="n">
        <v>0.0457</v>
      </c>
      <c r="L12" s="10" t="n">
        <v>0.0563</v>
      </c>
      <c r="M12" s="10" t="n">
        <v>0.0674</v>
      </c>
      <c r="N12" s="10" t="n">
        <v>0.0076</v>
      </c>
      <c r="O12" s="10" t="n">
        <v>0.3326777273117447</v>
      </c>
      <c r="P12" s="10" t="n">
        <v>0.3327000000000001</v>
      </c>
    </row>
    <row r="13">
      <c r="A13" s="11" t="n"/>
      <c r="B13" s="11" t="inlineStr">
        <is>
          <t>SPY</t>
        </is>
      </c>
      <c r="C13" s="12" t="n">
        <v>0.0189</v>
      </c>
      <c r="D13" s="12" t="n">
        <v>0.0396</v>
      </c>
      <c r="E13" s="12" t="n">
        <v>0.0011</v>
      </c>
      <c r="F13" s="12" t="n">
        <v>0.0102</v>
      </c>
      <c r="G13" s="12" t="n">
        <v>0.014</v>
      </c>
      <c r="H13" s="12" t="n">
        <v>0.0062</v>
      </c>
      <c r="I13" s="12" t="n">
        <v>0.0205</v>
      </c>
      <c r="J13" s="12" t="n">
        <v>0.003</v>
      </c>
      <c r="K13" s="12" t="n">
        <v>0.0206</v>
      </c>
      <c r="L13" s="12" t="n">
        <v>0.0233</v>
      </c>
      <c r="M13" s="12" t="n">
        <v>0.0306</v>
      </c>
      <c r="N13" s="12" t="n">
        <v>0.011</v>
      </c>
      <c r="O13" s="12" t="n">
        <v>0.2173590831443901</v>
      </c>
      <c r="P13" s="12" t="n">
        <v>0.2172</v>
      </c>
    </row>
    <row r="14">
      <c r="A14" s="9" t="n">
        <v>2018</v>
      </c>
      <c r="B14" s="9" t="inlineStr">
        <is>
          <t>Strategy</t>
        </is>
      </c>
      <c r="C14" s="10" t="n">
        <v>0.0526</v>
      </c>
      <c r="D14" s="10" t="n">
        <v>0.0242</v>
      </c>
      <c r="E14" s="10" t="n">
        <v>-0.0068</v>
      </c>
      <c r="F14" s="10" t="n">
        <v>0.05690000000000001</v>
      </c>
      <c r="G14" s="10" t="n">
        <v>0.0424</v>
      </c>
      <c r="H14" s="10" t="n">
        <v>-0.007900000000000001</v>
      </c>
      <c r="I14" s="10" t="n">
        <v>0.0119</v>
      </c>
      <c r="J14" s="10" t="n">
        <v>0.0308</v>
      </c>
      <c r="K14" s="10" t="n">
        <v>0.014</v>
      </c>
      <c r="L14" s="10" t="n">
        <v>-0.0076</v>
      </c>
      <c r="M14" s="10" t="n">
        <v>0.0208</v>
      </c>
      <c r="N14" s="10" t="n">
        <v>-0.0163</v>
      </c>
      <c r="O14" s="10" t="n">
        <v>0.2335269644603388</v>
      </c>
      <c r="P14" s="10" t="n">
        <v>0.2335</v>
      </c>
    </row>
    <row r="15">
      <c r="A15" s="11" t="n"/>
      <c r="B15" s="11" t="inlineStr">
        <is>
          <t>SPY</t>
        </is>
      </c>
      <c r="C15" s="12" t="n">
        <v>0.0572</v>
      </c>
      <c r="D15" s="12" t="n">
        <v>-0.0369</v>
      </c>
      <c r="E15" s="12" t="n">
        <v>-0.0255</v>
      </c>
      <c r="F15" s="12" t="n">
        <v>0.0038</v>
      </c>
      <c r="G15" s="12" t="n">
        <v>0.024</v>
      </c>
      <c r="H15" s="12" t="n">
        <v>0.0061</v>
      </c>
      <c r="I15" s="12" t="n">
        <v>0.0371</v>
      </c>
      <c r="J15" s="12" t="n">
        <v>0.0325</v>
      </c>
      <c r="K15" s="12" t="n">
        <v>0.005600000000000001</v>
      </c>
      <c r="L15" s="12" t="n">
        <v>-0.0684</v>
      </c>
      <c r="M15" s="12" t="n">
        <v>0.0203</v>
      </c>
      <c r="N15" s="12" t="n">
        <v>-0.09039999999999999</v>
      </c>
      <c r="O15" s="12" t="n">
        <v>-0.04469411044454819</v>
      </c>
      <c r="P15" s="12" t="n">
        <v>-0.0447</v>
      </c>
    </row>
    <row r="16">
      <c r="A16" s="9" t="n">
        <v>2019</v>
      </c>
      <c r="B16" s="9" t="inlineStr">
        <is>
          <t>Strategy</t>
        </is>
      </c>
      <c r="C16" s="10" t="n">
        <v>0.0765</v>
      </c>
      <c r="D16" s="10" t="n">
        <v>0.0359</v>
      </c>
      <c r="E16" s="10" t="n">
        <v>0.0121</v>
      </c>
      <c r="F16" s="10" t="n">
        <v>0.019</v>
      </c>
      <c r="G16" s="10" t="n">
        <v>-0.0389</v>
      </c>
      <c r="H16" s="10" t="n">
        <v>0.0475</v>
      </c>
      <c r="I16" s="10" t="n">
        <v>0.0037</v>
      </c>
      <c r="J16" s="10" t="n">
        <v>-0.0562</v>
      </c>
      <c r="K16" s="10" t="n">
        <v>0.0307</v>
      </c>
      <c r="L16" s="10" t="n">
        <v>0.04559999999999999</v>
      </c>
      <c r="M16" s="10" t="n">
        <v>0.0004</v>
      </c>
      <c r="N16" s="10" t="n">
        <v>-0.0097</v>
      </c>
      <c r="O16" s="10" t="n">
        <v>0.1710469164762252</v>
      </c>
      <c r="P16" s="10" t="n">
        <v>0.171</v>
      </c>
    </row>
    <row r="17">
      <c r="A17" s="11" t="n"/>
      <c r="B17" s="11" t="inlineStr">
        <is>
          <t>SPY</t>
        </is>
      </c>
      <c r="C17" s="12" t="n">
        <v>0.0801</v>
      </c>
      <c r="D17" s="12" t="n">
        <v>0.032</v>
      </c>
      <c r="E17" s="12" t="n">
        <v>0.0194</v>
      </c>
      <c r="F17" s="12" t="n">
        <v>0.0404</v>
      </c>
      <c r="G17" s="12" t="n">
        <v>-0.0636</v>
      </c>
      <c r="H17" s="12" t="n">
        <v>0.0704</v>
      </c>
      <c r="I17" s="12" t="n">
        <v>0.0143</v>
      </c>
      <c r="J17" s="12" t="n">
        <v>-0.0159</v>
      </c>
      <c r="K17" s="12" t="n">
        <v>0.0186</v>
      </c>
      <c r="L17" s="12" t="n">
        <v>0.0216</v>
      </c>
      <c r="M17" s="12" t="n">
        <v>0.0362</v>
      </c>
      <c r="N17" s="12" t="n">
        <v>0.0301</v>
      </c>
      <c r="O17" s="12" t="n">
        <v>0.313739718197207</v>
      </c>
      <c r="P17" s="12" t="n">
        <v>0.3136</v>
      </c>
    </row>
    <row r="18">
      <c r="A18" s="9" t="n">
        <v>2020</v>
      </c>
      <c r="B18" s="9" t="inlineStr">
        <is>
          <t>Strategy</t>
        </is>
      </c>
      <c r="C18" s="10" t="n">
        <v>0.0281</v>
      </c>
      <c r="D18" s="10" t="n">
        <v>-0.1365</v>
      </c>
      <c r="E18" s="10" t="n">
        <v>0.5532</v>
      </c>
      <c r="F18" s="10" t="n">
        <v>0.2965</v>
      </c>
      <c r="G18" s="10" t="n">
        <v>0.09660000000000001</v>
      </c>
      <c r="H18" s="10" t="n">
        <v>0.0215</v>
      </c>
      <c r="I18" s="10" t="n">
        <v>0.0441</v>
      </c>
      <c r="J18" s="10" t="n">
        <v>0.07440000000000001</v>
      </c>
      <c r="K18" s="10" t="n">
        <v>0.0342</v>
      </c>
      <c r="L18" s="10" t="n">
        <v>-0.0692</v>
      </c>
      <c r="M18" s="10" t="n">
        <v>0.1687</v>
      </c>
      <c r="N18" s="10" t="n">
        <v>0.0491</v>
      </c>
      <c r="O18" s="10" t="n">
        <v>1.651387174156369</v>
      </c>
      <c r="P18" s="10" t="n">
        <v>1.6514</v>
      </c>
    </row>
    <row r="19">
      <c r="A19" s="11" t="n"/>
      <c r="B19" s="11" t="inlineStr">
        <is>
          <t>SPY</t>
        </is>
      </c>
      <c r="C19" s="12" t="n">
        <v>-0.0005</v>
      </c>
      <c r="D19" s="12" t="n">
        <v>-0.0824</v>
      </c>
      <c r="E19" s="12" t="n">
        <v>-0.1236</v>
      </c>
      <c r="F19" s="12" t="n">
        <v>0.1281</v>
      </c>
      <c r="G19" s="12" t="n">
        <v>0.0475</v>
      </c>
      <c r="H19" s="12" t="n">
        <v>0.0198</v>
      </c>
      <c r="I19" s="12" t="n">
        <v>0.0563</v>
      </c>
      <c r="J19" s="12" t="n">
        <v>0.0718</v>
      </c>
      <c r="K19" s="12" t="n">
        <v>-0.0381</v>
      </c>
      <c r="L19" s="12" t="n">
        <v>-0.0267</v>
      </c>
      <c r="M19" s="12" t="n">
        <v>0.1094</v>
      </c>
      <c r="N19" s="12" t="n">
        <v>0.0384</v>
      </c>
      <c r="O19" s="12" t="n">
        <v>0.1827303254038877</v>
      </c>
      <c r="P19" s="12" t="n">
        <v>0.1829</v>
      </c>
    </row>
    <row r="20">
      <c r="A20" s="9" t="n">
        <v>2021</v>
      </c>
      <c r="B20" s="9" t="inlineStr">
        <is>
          <t>Strategy</t>
        </is>
      </c>
      <c r="C20" s="10" t="n">
        <v>0.0026</v>
      </c>
      <c r="D20" s="10" t="n">
        <v>0.0416</v>
      </c>
      <c r="E20" s="10" t="n">
        <v>0.0361</v>
      </c>
      <c r="F20" s="10" t="n">
        <v>0.0688</v>
      </c>
      <c r="G20" s="10" t="n">
        <v>0.0036</v>
      </c>
      <c r="H20" s="10" t="n">
        <v>0.0425</v>
      </c>
      <c r="I20" s="10" t="n">
        <v>-0.0155</v>
      </c>
      <c r="J20" s="10" t="n">
        <v>0.0352</v>
      </c>
      <c r="K20" s="10" t="n">
        <v>-0.0137</v>
      </c>
      <c r="L20" s="10" t="n">
        <v>0.08460000000000001</v>
      </c>
      <c r="M20" s="10" t="n">
        <v>0.0345</v>
      </c>
      <c r="N20" s="10" t="n">
        <v>0.033</v>
      </c>
      <c r="O20" s="10" t="n">
        <v>0.4096553377555852</v>
      </c>
      <c r="P20" s="10" t="n">
        <v>0.4097</v>
      </c>
    </row>
    <row r="21">
      <c r="A21" s="11" t="n"/>
      <c r="B21" s="11" t="inlineStr">
        <is>
          <t>SPY</t>
        </is>
      </c>
      <c r="C21" s="12" t="n">
        <v>-0.0102</v>
      </c>
      <c r="D21" s="12" t="n">
        <v>0.0278</v>
      </c>
      <c r="E21" s="12" t="n">
        <v>0.0437</v>
      </c>
      <c r="F21" s="12" t="n">
        <v>0.0533</v>
      </c>
      <c r="G21" s="12" t="n">
        <v>0.0069</v>
      </c>
      <c r="H21" s="12" t="n">
        <v>0.0233</v>
      </c>
      <c r="I21" s="12" t="n">
        <v>0.0237</v>
      </c>
      <c r="J21" s="12" t="n">
        <v>0.0303</v>
      </c>
      <c r="K21" s="12" t="n">
        <v>-0.0466</v>
      </c>
      <c r="L21" s="12" t="n">
        <v>0.07000000000000001</v>
      </c>
      <c r="M21" s="12" t="n">
        <v>-0.006999999999999999</v>
      </c>
      <c r="N21" s="12" t="n">
        <v>0.0447</v>
      </c>
      <c r="O21" s="12" t="n">
        <v>0.2862024042270763</v>
      </c>
      <c r="P21" s="12" t="n">
        <v>0.2863</v>
      </c>
    </row>
    <row r="22">
      <c r="A22" s="9" t="n">
        <v>2022</v>
      </c>
      <c r="B22" s="9" t="inlineStr">
        <is>
          <t>Strategy</t>
        </is>
      </c>
      <c r="C22" s="10" t="n">
        <v>-0.0248</v>
      </c>
      <c r="D22" s="10" t="n">
        <v>0.0016</v>
      </c>
      <c r="E22" s="10" t="n">
        <v>0.0554</v>
      </c>
      <c r="F22" s="10" t="n">
        <v>0</v>
      </c>
      <c r="G22" s="10" t="n">
        <v>0.0071</v>
      </c>
      <c r="H22" s="10" t="n">
        <v>0</v>
      </c>
      <c r="I22" s="10" t="n">
        <v>0.1064</v>
      </c>
      <c r="J22" s="10" t="n">
        <v>-0.004099999999999999</v>
      </c>
      <c r="K22" s="10" t="n">
        <v>-0.08160000000000001</v>
      </c>
      <c r="L22" s="10" t="n">
        <v>0.1004</v>
      </c>
      <c r="M22" s="10" t="n">
        <v>0.0528</v>
      </c>
      <c r="N22" s="10" t="n">
        <v>-0.0203</v>
      </c>
      <c r="O22" s="10" t="n">
        <v>0.1924139133870444</v>
      </c>
      <c r="P22" s="10" t="n">
        <v>0.1924</v>
      </c>
    </row>
    <row r="23">
      <c r="A23" s="11" t="n"/>
      <c r="B23" s="11" t="inlineStr">
        <is>
          <t>SPY</t>
        </is>
      </c>
      <c r="C23" s="12" t="n">
        <v>-0.0518</v>
      </c>
      <c r="D23" s="12" t="n">
        <v>-0.03</v>
      </c>
      <c r="E23" s="12" t="n">
        <v>0.03700000000000001</v>
      </c>
      <c r="F23" s="12" t="n">
        <v>-0.0873</v>
      </c>
      <c r="G23" s="12" t="n">
        <v>0.0018</v>
      </c>
      <c r="H23" s="12" t="n">
        <v>-0.08259999999999999</v>
      </c>
      <c r="I23" s="12" t="n">
        <v>0.09210000000000002</v>
      </c>
      <c r="J23" s="12" t="n">
        <v>-0.0409</v>
      </c>
      <c r="K23" s="12" t="n">
        <v>-0.0922</v>
      </c>
      <c r="L23" s="12" t="n">
        <v>0.0809</v>
      </c>
      <c r="M23" s="12" t="n">
        <v>0.0558</v>
      </c>
      <c r="N23" s="12" t="n">
        <v>-0.05769999999999999</v>
      </c>
      <c r="O23" s="12" t="n">
        <v>-0.1819288117756598</v>
      </c>
      <c r="P23" s="12" t="n">
        <v>-0.1819</v>
      </c>
    </row>
    <row r="24">
      <c r="A24" s="9" t="n">
        <v>2023</v>
      </c>
      <c r="B24" s="9" t="inlineStr">
        <is>
          <t>Strategy</t>
        </is>
      </c>
      <c r="C24" s="10" t="n">
        <v>0.0965</v>
      </c>
      <c r="D24" s="10" t="n">
        <v>-0.0244</v>
      </c>
      <c r="E24" s="10" t="n">
        <v>0.0551</v>
      </c>
      <c r="F24" s="10" t="n">
        <v>0.0106</v>
      </c>
      <c r="G24" s="10" t="n">
        <v>0.008399999999999999</v>
      </c>
      <c r="H24" s="10" t="n">
        <v>0.07539999999999999</v>
      </c>
      <c r="I24" s="10" t="n">
        <v>0.0221</v>
      </c>
      <c r="J24" s="10" t="n">
        <v>0.0114</v>
      </c>
      <c r="K24" s="10" t="n">
        <v>-0.0225</v>
      </c>
      <c r="L24" s="10" t="n">
        <v>-0.0574</v>
      </c>
      <c r="M24" s="10" t="n">
        <v>0.0431</v>
      </c>
      <c r="N24" s="10" t="n">
        <v>0.0198</v>
      </c>
      <c r="O24" s="10" t="n">
        <v>0.2533076941663785</v>
      </c>
      <c r="P24" s="10" t="n"/>
    </row>
    <row r="25">
      <c r="A25" s="11" t="n"/>
      <c r="B25" s="11" t="inlineStr">
        <is>
          <t>SPY</t>
        </is>
      </c>
      <c r="C25" s="12" t="n">
        <v>0.06280000000000001</v>
      </c>
      <c r="D25" s="12" t="n">
        <v>-0.0245</v>
      </c>
      <c r="E25" s="12" t="n">
        <v>0.0366</v>
      </c>
      <c r="F25" s="12" t="n">
        <v>0.0155</v>
      </c>
      <c r="G25" s="12" t="n">
        <v>0.0043</v>
      </c>
      <c r="H25" s="12" t="n">
        <v>0.066</v>
      </c>
      <c r="I25" s="12" t="n">
        <v>0.032</v>
      </c>
      <c r="J25" s="12" t="n">
        <v>-0.016</v>
      </c>
      <c r="K25" s="12" t="n">
        <v>-0.04769999999999999</v>
      </c>
      <c r="L25" s="12" t="n">
        <v>-0.0211</v>
      </c>
      <c r="M25" s="12" t="n">
        <v>0.09119999999999999</v>
      </c>
      <c r="N25" s="12" t="n">
        <v>0.0454</v>
      </c>
      <c r="O25" s="12" t="n">
        <v>0.2617240482840648</v>
      </c>
      <c r="P25" s="12" t="n"/>
    </row>
    <row r="26">
      <c r="A26" s="9" t="n">
        <v>2024</v>
      </c>
      <c r="B26" s="9" t="inlineStr">
        <is>
          <t>Strategy</t>
        </is>
      </c>
      <c r="C26" s="10" t="n">
        <v>-0.0291</v>
      </c>
      <c r="D26" s="10" t="n">
        <v>0.0888</v>
      </c>
      <c r="E26" s="10" t="n">
        <v>0.0142</v>
      </c>
      <c r="F26" s="10" t="n">
        <v>-0.0198</v>
      </c>
      <c r="G26" s="10" t="n">
        <v>0.0591</v>
      </c>
      <c r="H26" s="10" t="n">
        <v>0.0713</v>
      </c>
      <c r="I26" s="10" t="n">
        <v>-0.0189</v>
      </c>
      <c r="J26" s="10" t="n">
        <v>0.08400000000000001</v>
      </c>
      <c r="K26" s="10" t="n">
        <v>0.0008</v>
      </c>
      <c r="L26" s="10" t="n">
        <v>-0.0492</v>
      </c>
      <c r="M26" s="10" t="n">
        <v>0.0121</v>
      </c>
      <c r="N26" s="10" t="n">
        <v>0.0023</v>
      </c>
      <c r="O26" s="10" t="n">
        <v>0.224078228126074</v>
      </c>
      <c r="P26" s="10" t="n">
        <v>0.2241</v>
      </c>
    </row>
    <row r="27">
      <c r="A27" s="11" t="n"/>
      <c r="B27" s="11" t="inlineStr">
        <is>
          <t>SPY</t>
        </is>
      </c>
      <c r="C27" s="12" t="n">
        <v>0.0167</v>
      </c>
      <c r="D27" s="12" t="n">
        <v>0.0533</v>
      </c>
      <c r="E27" s="12" t="n">
        <v>0.0321</v>
      </c>
      <c r="F27" s="12" t="n">
        <v>-0.0409</v>
      </c>
      <c r="G27" s="12" t="n">
        <v>0.0495</v>
      </c>
      <c r="H27" s="12" t="n">
        <v>0.0358</v>
      </c>
      <c r="I27" s="12" t="n">
        <v>0.0121</v>
      </c>
      <c r="J27" s="12" t="n">
        <v>0.0242</v>
      </c>
      <c r="K27" s="12" t="n">
        <v>0.0213</v>
      </c>
      <c r="L27" s="12" t="n">
        <v>-0.0092</v>
      </c>
      <c r="M27" s="12" t="n">
        <v>0.05860000000000001</v>
      </c>
      <c r="N27" s="12" t="n">
        <v>-0.0239</v>
      </c>
      <c r="O27" s="12" t="n">
        <v>0.2490006229740871</v>
      </c>
      <c r="P27" s="12" t="n">
        <v>0.249</v>
      </c>
    </row>
    <row r="28">
      <c r="A28" s="9" t="n">
        <v>2025</v>
      </c>
      <c r="B28" s="9" t="inlineStr">
        <is>
          <t>Strategy</t>
        </is>
      </c>
      <c r="C28" s="10" t="n">
        <v>0.1231</v>
      </c>
      <c r="D28" s="10" t="n">
        <v>-0.0635</v>
      </c>
      <c r="E28" s="10" t="n">
        <v>-0.0755</v>
      </c>
      <c r="F28" s="10" t="n">
        <v>0.04940000000000001</v>
      </c>
      <c r="G28" s="10" t="n">
        <v>0.0411</v>
      </c>
      <c r="H28" s="10" t="n">
        <v>0.1008</v>
      </c>
      <c r="I28" s="10" t="n">
        <v>0.06419999999999999</v>
      </c>
      <c r="J28" s="10" t="n">
        <v>0.0646</v>
      </c>
      <c r="K28" s="10" t="n">
        <v>0.0487</v>
      </c>
      <c r="L28" s="10" t="n">
        <v>0.04190000000000001</v>
      </c>
      <c r="M28" s="10" t="n">
        <v>-0.028</v>
      </c>
      <c r="N28" s="10" t="n">
        <v>0.011</v>
      </c>
      <c r="O28" s="10" t="n">
        <v>0.422589158591822</v>
      </c>
      <c r="P28" s="10" t="n">
        <v>0.4226</v>
      </c>
    </row>
    <row r="29">
      <c r="A29" s="11" t="n"/>
      <c r="B29" s="11" t="inlineStr">
        <is>
          <t>SPY</t>
        </is>
      </c>
      <c r="C29" s="12" t="n">
        <v>0.0278</v>
      </c>
      <c r="D29" s="12" t="n">
        <v>-0.0131</v>
      </c>
      <c r="E29" s="12" t="n">
        <v>-0.0564</v>
      </c>
      <c r="F29" s="12" t="n">
        <v>-0.0069</v>
      </c>
      <c r="G29" s="12" t="n">
        <v>0.0629</v>
      </c>
      <c r="H29" s="12" t="n">
        <v>0.0508</v>
      </c>
      <c r="I29" s="12" t="n">
        <v>0.0224</v>
      </c>
      <c r="J29" s="12" t="n">
        <v>0.0202</v>
      </c>
      <c r="K29" s="12" t="n">
        <v>0.0364</v>
      </c>
      <c r="L29" s="12" t="n">
        <v>0.0233</v>
      </c>
      <c r="M29" s="12" t="n">
        <v>0.0024</v>
      </c>
      <c r="N29" s="12" t="n">
        <v>0.0005</v>
      </c>
      <c r="O29" s="12" t="n">
        <v>0.1777953544294339</v>
      </c>
      <c r="P29" s="12" t="n">
        <v>0.1777</v>
      </c>
    </row>
    <row r="30">
      <c r="A30" s="9" t="n">
        <v>2026</v>
      </c>
      <c r="B30" s="9" t="inlineStr">
        <is>
          <t>Strategy</t>
        </is>
      </c>
      <c r="C30" s="10" t="n">
        <v>-0.0275</v>
      </c>
      <c r="D30" s="10" t="n">
        <v>0.009899999999999999</v>
      </c>
      <c r="E30" s="10" t="n">
        <v>-0.0474</v>
      </c>
      <c r="F30" s="10" t="n">
        <v>0.0848</v>
      </c>
      <c r="G30" s="10" t="n">
        <v>0.0473</v>
      </c>
      <c r="H30" s="10" t="n">
        <v>-0.0017</v>
      </c>
      <c r="I30" s="10" t="n"/>
      <c r="J30" s="10" t="n"/>
      <c r="K30" s="10" t="n"/>
      <c r="L30" s="10" t="n"/>
      <c r="M30" s="10" t="n"/>
      <c r="N30" s="10" t="n"/>
      <c r="O30" s="10" t="n">
        <v>0.06111000771555219</v>
      </c>
      <c r="P30" s="10" t="n">
        <v>0.0612</v>
      </c>
    </row>
    <row r="31">
      <c r="A31" s="11" t="n"/>
      <c r="B31" s="11" t="inlineStr">
        <is>
          <t>SPY</t>
        </is>
      </c>
      <c r="C31" s="12" t="n">
        <v>0.0144</v>
      </c>
      <c r="D31" s="12" t="n">
        <v>-0.0077</v>
      </c>
      <c r="E31" s="12" t="n">
        <v>-0.0499</v>
      </c>
      <c r="F31" s="12" t="n">
        <v>0.1048</v>
      </c>
      <c r="G31" s="12" t="n">
        <v>0.0526</v>
      </c>
      <c r="H31" s="12" t="n">
        <v>-0.009599999999999999</v>
      </c>
      <c r="I31" s="12" t="n"/>
      <c r="J31" s="12" t="n"/>
      <c r="K31" s="12" t="n"/>
      <c r="L31" s="12" t="n"/>
      <c r="M31" s="12" t="n"/>
      <c r="N31" s="12" t="n"/>
      <c r="O31" s="12" t="n">
        <v>0.1014865866842389</v>
      </c>
      <c r="P31" s="12" t="n">
        <v>0.1016</v>
      </c>
    </row>
    <row r="32"/>
    <row r="33">
      <c r="A33" s="13" t="inlineStr">
        <is>
          <t>Year (compounded) = product of (1 + monthly return) - 1 over the available months; 2012 is Jul-Dec and 2026 is Jan-Jun. 2023 was published as two periods (Jan-Jul 26.43% / 20.58%; Aug-Dec -0.87% / 4.63%), so its full-year figure has no published counterpart.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1" customWidth="1" min="4" max="4"/>
    <col width="21" customWidth="1" min="5" max="5"/>
    <col width="23" customWidth="1" min="6" max="6"/>
    <col width="22" customWidth="1" min="7" max="7"/>
    <col width="23" customWidth="1" min="8" max="8"/>
    <col width="26" customWidth="1" min="9" max="9"/>
    <col width="21" customWidth="1" min="10" max="10"/>
    <col width="26" customWidth="1" min="11" max="11"/>
  </cols>
  <sheetData>
    <row r="1">
      <c r="A1" s="4" t="inlineStr">
        <is>
          <t>Year</t>
        </is>
      </c>
      <c r="B1" s="4" t="inlineStr">
        <is>
          <t>Months</t>
        </is>
      </c>
      <c r="C1" s="4" t="inlineStr">
        <is>
          <t>Partial</t>
        </is>
      </c>
      <c r="D1" s="4" t="inlineStr">
        <is>
          <t>Strategy</t>
        </is>
      </c>
      <c r="E1" s="4" t="inlineStr">
        <is>
          <t>SPY</t>
        </is>
      </c>
      <c r="F1" s="4" t="inlineStr">
        <is>
          <t>Excess</t>
        </is>
      </c>
      <c r="G1" s="4" t="inlineStr">
        <is>
          <t>Strategy best month</t>
        </is>
      </c>
      <c r="H1" s="4" t="inlineStr">
        <is>
          <t>Strategy worst month</t>
        </is>
      </c>
      <c r="I1" s="4" t="inlineStr">
        <is>
          <t>Strategy positive months</t>
        </is>
      </c>
      <c r="J1" s="4" t="inlineStr">
        <is>
          <t>SPY positive months</t>
        </is>
      </c>
      <c r="K1" s="4" t="inlineStr">
        <is>
          <t>Months strategy beat SPY</t>
        </is>
      </c>
    </row>
    <row r="2">
      <c r="A2" s="5" t="n">
        <v>2012</v>
      </c>
      <c r="B2" s="5" t="n">
        <v>6</v>
      </c>
      <c r="C2" s="5" t="inlineStr">
        <is>
          <t>yes</t>
        </is>
      </c>
      <c r="D2" s="6" t="n">
        <v>0.10840943</v>
      </c>
      <c r="E2" s="6" t="n">
        <v>0.05636369</v>
      </c>
      <c r="F2" s="6" t="n">
        <v>0.05204575</v>
      </c>
      <c r="G2" s="6" t="n">
        <v>0.0673</v>
      </c>
      <c r="H2" s="6" t="n">
        <v>-0.0231</v>
      </c>
      <c r="I2" s="5" t="n">
        <v>3</v>
      </c>
      <c r="J2" s="5" t="n">
        <v>5</v>
      </c>
      <c r="K2" s="5" t="n">
        <v>4</v>
      </c>
    </row>
    <row r="3">
      <c r="A3" s="5" t="n">
        <v>2013</v>
      </c>
      <c r="B3" s="5" t="n">
        <v>12</v>
      </c>
      <c r="C3" s="5" t="inlineStr"/>
      <c r="D3" s="6" t="n">
        <v>0.32596715</v>
      </c>
      <c r="E3" s="6" t="n">
        <v>0.32266625</v>
      </c>
      <c r="F3" s="6" t="n">
        <v>0.0033009</v>
      </c>
      <c r="G3" s="6" t="n">
        <v>0.0571</v>
      </c>
      <c r="H3" s="6" t="n">
        <v>-0.0353</v>
      </c>
      <c r="I3" s="5" t="n">
        <v>10</v>
      </c>
      <c r="J3" s="5" t="n">
        <v>10</v>
      </c>
      <c r="K3" s="5" t="n">
        <v>8</v>
      </c>
    </row>
    <row r="4">
      <c r="A4" s="5" t="n">
        <v>2014</v>
      </c>
      <c r="B4" s="5" t="n">
        <v>12</v>
      </c>
      <c r="C4" s="5" t="inlineStr"/>
      <c r="D4" s="6" t="n">
        <v>0.12927599</v>
      </c>
      <c r="E4" s="6" t="n">
        <v>0.13577363</v>
      </c>
      <c r="F4" s="6" t="n">
        <v>-0.00649764</v>
      </c>
      <c r="G4" s="6" t="n">
        <v>0.038</v>
      </c>
      <c r="H4" s="6" t="n">
        <v>-0.0619</v>
      </c>
      <c r="I4" s="5" t="n">
        <v>9</v>
      </c>
      <c r="J4" s="5" t="n">
        <v>8</v>
      </c>
      <c r="K4" s="5" t="n">
        <v>6</v>
      </c>
    </row>
    <row r="5">
      <c r="A5" s="5" t="n">
        <v>2015</v>
      </c>
      <c r="B5" s="5" t="n">
        <v>12</v>
      </c>
      <c r="C5" s="5" t="inlineStr"/>
      <c r="D5" s="6" t="n">
        <v>0.09953238</v>
      </c>
      <c r="E5" s="6" t="n">
        <v>0.01296311</v>
      </c>
      <c r="F5" s="6" t="n">
        <v>0.08656926999999999</v>
      </c>
      <c r="G5" s="6" t="n">
        <v>0.08990000000000001</v>
      </c>
      <c r="H5" s="6" t="n">
        <v>-0.1065</v>
      </c>
      <c r="I5" s="5" t="n">
        <v>8</v>
      </c>
      <c r="J5" s="5" t="n">
        <v>6</v>
      </c>
      <c r="K5" s="5" t="n">
        <v>8</v>
      </c>
    </row>
    <row r="6">
      <c r="A6" s="5" t="n">
        <v>2016</v>
      </c>
      <c r="B6" s="5" t="n">
        <v>12</v>
      </c>
      <c r="C6" s="5" t="inlineStr"/>
      <c r="D6" s="6" t="n">
        <v>0.21944237</v>
      </c>
      <c r="E6" s="6" t="n">
        <v>0.11869447</v>
      </c>
      <c r="F6" s="6" t="n">
        <v>0.1007479</v>
      </c>
      <c r="G6" s="6" t="n">
        <v>0.0819</v>
      </c>
      <c r="H6" s="6" t="n">
        <v>-0.0235</v>
      </c>
      <c r="I6" s="5" t="n">
        <v>8</v>
      </c>
      <c r="J6" s="5" t="n">
        <v>9</v>
      </c>
      <c r="K6" s="5" t="n">
        <v>8</v>
      </c>
    </row>
    <row r="7">
      <c r="A7" s="5" t="n">
        <v>2017</v>
      </c>
      <c r="B7" s="5" t="n">
        <v>12</v>
      </c>
      <c r="C7" s="5" t="inlineStr"/>
      <c r="D7" s="6" t="n">
        <v>0.33267773</v>
      </c>
      <c r="E7" s="6" t="n">
        <v>0.21735908</v>
      </c>
      <c r="F7" s="6" t="n">
        <v>0.11531864</v>
      </c>
      <c r="G7" s="6" t="n">
        <v>0.0674</v>
      </c>
      <c r="H7" s="6" t="n">
        <v>-0.0216</v>
      </c>
      <c r="I7" s="5" t="n">
        <v>11</v>
      </c>
      <c r="J7" s="5" t="n">
        <v>12</v>
      </c>
      <c r="K7" s="5" t="n">
        <v>8</v>
      </c>
    </row>
    <row r="8">
      <c r="A8" s="5" t="n">
        <v>2018</v>
      </c>
      <c r="B8" s="5" t="n">
        <v>12</v>
      </c>
      <c r="C8" s="5" t="inlineStr"/>
      <c r="D8" s="6" t="n">
        <v>0.23352696</v>
      </c>
      <c r="E8" s="6" t="n">
        <v>-0.04469411</v>
      </c>
      <c r="F8" s="6" t="n">
        <v>0.27822107</v>
      </c>
      <c r="G8" s="6" t="n">
        <v>0.05690000000000001</v>
      </c>
      <c r="H8" s="6" t="n">
        <v>-0.0163</v>
      </c>
      <c r="I8" s="5" t="n">
        <v>8</v>
      </c>
      <c r="J8" s="5" t="n">
        <v>8</v>
      </c>
      <c r="K8" s="5" t="n">
        <v>8</v>
      </c>
    </row>
    <row r="9">
      <c r="A9" s="5" t="n">
        <v>2019</v>
      </c>
      <c r="B9" s="5" t="n">
        <v>12</v>
      </c>
      <c r="C9" s="5" t="inlineStr"/>
      <c r="D9" s="6" t="n">
        <v>0.17104692</v>
      </c>
      <c r="E9" s="6" t="n">
        <v>0.31373972</v>
      </c>
      <c r="F9" s="6" t="n">
        <v>-0.1426928</v>
      </c>
      <c r="G9" s="6" t="n">
        <v>0.0765</v>
      </c>
      <c r="H9" s="6" t="n">
        <v>-0.0562</v>
      </c>
      <c r="I9" s="5" t="n">
        <v>9</v>
      </c>
      <c r="J9" s="5" t="n">
        <v>10</v>
      </c>
      <c r="K9" s="5" t="n">
        <v>4</v>
      </c>
    </row>
    <row r="10">
      <c r="A10" s="5" t="n">
        <v>2020</v>
      </c>
      <c r="B10" s="5" t="n">
        <v>12</v>
      </c>
      <c r="C10" s="5" t="inlineStr"/>
      <c r="D10" s="6" t="n">
        <v>1.65138717</v>
      </c>
      <c r="E10" s="6" t="n">
        <v>0.18273033</v>
      </c>
      <c r="F10" s="6" t="n">
        <v>1.46865685</v>
      </c>
      <c r="G10" s="6" t="n">
        <v>0.5532</v>
      </c>
      <c r="H10" s="6" t="n">
        <v>-0.1365</v>
      </c>
      <c r="I10" s="5" t="n">
        <v>10</v>
      </c>
      <c r="J10" s="5" t="n">
        <v>7</v>
      </c>
      <c r="K10" s="5" t="n">
        <v>9</v>
      </c>
    </row>
    <row r="11">
      <c r="A11" s="5" t="n">
        <v>2021</v>
      </c>
      <c r="B11" s="5" t="n">
        <v>12</v>
      </c>
      <c r="C11" s="5" t="inlineStr"/>
      <c r="D11" s="6" t="n">
        <v>0.40965534</v>
      </c>
      <c r="E11" s="6" t="n">
        <v>0.2862024</v>
      </c>
      <c r="F11" s="6" t="n">
        <v>0.12345293</v>
      </c>
      <c r="G11" s="6" t="n">
        <v>0.08460000000000001</v>
      </c>
      <c r="H11" s="6" t="n">
        <v>-0.0155</v>
      </c>
      <c r="I11" s="5" t="n">
        <v>10</v>
      </c>
      <c r="J11" s="5" t="n">
        <v>9</v>
      </c>
      <c r="K11" s="5" t="n">
        <v>8</v>
      </c>
    </row>
    <row r="12">
      <c r="A12" s="5" t="n">
        <v>2022</v>
      </c>
      <c r="B12" s="5" t="n">
        <v>12</v>
      </c>
      <c r="C12" s="5" t="inlineStr"/>
      <c r="D12" s="6" t="n">
        <v>0.19241391</v>
      </c>
      <c r="E12" s="6" t="n">
        <v>-0.18192881</v>
      </c>
      <c r="F12" s="6" t="n">
        <v>0.37434273</v>
      </c>
      <c r="G12" s="6" t="n">
        <v>0.1064</v>
      </c>
      <c r="H12" s="6" t="n">
        <v>-0.08160000000000001</v>
      </c>
      <c r="I12" s="5" t="n">
        <v>6</v>
      </c>
      <c r="J12" s="5" t="n">
        <v>5</v>
      </c>
      <c r="K12" s="5" t="n">
        <v>11</v>
      </c>
    </row>
    <row r="13">
      <c r="A13" s="5" t="n">
        <v>2023</v>
      </c>
      <c r="B13" s="5" t="n">
        <v>12</v>
      </c>
      <c r="C13" s="5" t="inlineStr"/>
      <c r="D13" s="6" t="n">
        <v>0.25330769</v>
      </c>
      <c r="E13" s="6" t="n">
        <v>0.26172405</v>
      </c>
      <c r="F13" s="6" t="n">
        <v>-0.00841635</v>
      </c>
      <c r="G13" s="6" t="n">
        <v>0.0965</v>
      </c>
      <c r="H13" s="6" t="n">
        <v>-0.0574</v>
      </c>
      <c r="I13" s="5" t="n">
        <v>9</v>
      </c>
      <c r="J13" s="5" t="n">
        <v>8</v>
      </c>
      <c r="K13" s="5" t="n">
        <v>7</v>
      </c>
    </row>
    <row r="14">
      <c r="A14" s="5" t="n">
        <v>2024</v>
      </c>
      <c r="B14" s="5" t="n">
        <v>12</v>
      </c>
      <c r="C14" s="5" t="inlineStr"/>
      <c r="D14" s="6" t="n">
        <v>0.22407823</v>
      </c>
      <c r="E14" s="6" t="n">
        <v>0.24900062</v>
      </c>
      <c r="F14" s="6" t="n">
        <v>-0.02492239</v>
      </c>
      <c r="G14" s="6" t="n">
        <v>0.0888</v>
      </c>
      <c r="H14" s="6" t="n">
        <v>-0.0492</v>
      </c>
      <c r="I14" s="5" t="n">
        <v>8</v>
      </c>
      <c r="J14" s="5" t="n">
        <v>9</v>
      </c>
      <c r="K14" s="5" t="n">
        <v>6</v>
      </c>
    </row>
    <row r="15">
      <c r="A15" s="5" t="n">
        <v>2025</v>
      </c>
      <c r="B15" s="5" t="n">
        <v>12</v>
      </c>
      <c r="C15" s="5" t="inlineStr"/>
      <c r="D15" s="6" t="n">
        <v>0.42258916</v>
      </c>
      <c r="E15" s="6" t="n">
        <v>0.17779535</v>
      </c>
      <c r="F15" s="6" t="n">
        <v>0.2447938</v>
      </c>
      <c r="G15" s="6" t="n">
        <v>0.1231</v>
      </c>
      <c r="H15" s="6" t="n">
        <v>-0.0755</v>
      </c>
      <c r="I15" s="5" t="n">
        <v>9</v>
      </c>
      <c r="J15" s="5" t="n">
        <v>9</v>
      </c>
      <c r="K15" s="5" t="n">
        <v>8</v>
      </c>
    </row>
    <row r="16">
      <c r="A16" s="5" t="n">
        <v>2026</v>
      </c>
      <c r="B16" s="5" t="n">
        <v>6</v>
      </c>
      <c r="C16" s="5" t="inlineStr">
        <is>
          <t>yes</t>
        </is>
      </c>
      <c r="D16" s="6" t="n">
        <v>0.06111001</v>
      </c>
      <c r="E16" s="6" t="n">
        <v>0.10148659</v>
      </c>
      <c r="F16" s="6" t="n">
        <v>-0.04037658</v>
      </c>
      <c r="G16" s="6" t="n">
        <v>0.0848</v>
      </c>
      <c r="H16" s="6" t="n">
        <v>-0.0474</v>
      </c>
      <c r="I16" s="5" t="n">
        <v>3</v>
      </c>
      <c r="J16" s="5" t="n">
        <v>3</v>
      </c>
      <c r="K16" s="5" t="n">
        <v>3</v>
      </c>
    </row>
    <row r="17"/>
    <row r="18">
      <c r="A18" s="9" t="inlineStr">
        <is>
          <t>Full years beating SPY:</t>
        </is>
      </c>
      <c r="D18" s="5" t="n">
        <v>9</v>
      </c>
    </row>
    <row r="19">
      <c r="A19" s="9" t="inlineStr">
        <is>
          <t>Full years in table:</t>
        </is>
      </c>
      <c r="D19" s="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5" customWidth="1" min="2" max="2"/>
    <col width="22" customWidth="1" min="3" max="3"/>
    <col width="27" customWidth="1" min="4" max="4"/>
    <col width="48" customWidth="1" min="5" max="5"/>
    <col width="22" customWidth="1" min="6" max="6"/>
    <col width="27" customWidth="1" min="7" max="7"/>
    <col width="47" customWidth="1" min="8" max="8"/>
    <col width="20" customWidth="1" min="9" max="9"/>
    <col width="27" customWidth="1" min="10" max="10"/>
    <col width="47" customWidth="1" min="11" max="11"/>
    <col width="13" customWidth="1" min="12" max="12"/>
    <col width="27" customWidth="1" min="13" max="13"/>
    <col width="50" customWidth="1" min="14" max="14"/>
    <col width="22" customWidth="1" min="15" max="15"/>
    <col width="27" customWidth="1" min="16" max="16"/>
    <col width="45" customWidth="1" min="17" max="17"/>
    <col width="20" customWidth="1" min="18" max="18"/>
    <col width="27" customWidth="1" min="19" max="19"/>
  </cols>
  <sheetData>
    <row r="1" ht="48" customHeight="1">
      <c r="A1" s="4" t="inlineStr">
        <is>
          <t>Statistic</t>
        </is>
      </c>
      <c r="B1" s="4" t="inlineStr">
        <is>
          <t>Since inception
2012-07 to 2026-06
Strategy</t>
        </is>
      </c>
      <c r="C1" s="4" t="inlineStr">
        <is>
          <t>SPY</t>
        </is>
      </c>
      <c r="D1" s="4" t="inlineStr">
        <is>
          <t>S&amp;P 500 price (published)</t>
        </is>
      </c>
      <c r="E1" s="4" t="inlineStr">
        <is>
          <t>Rolling 120 months
2016-07 to 2026-06
Strategy</t>
        </is>
      </c>
      <c r="F1" s="4" t="inlineStr">
        <is>
          <t>SPY</t>
        </is>
      </c>
      <c r="G1" s="4" t="inlineStr">
        <is>
          <t>S&amp;P 500 price (published)</t>
        </is>
      </c>
      <c r="H1" s="4" t="inlineStr">
        <is>
          <t>Rolling 60 months
2021-07 to 2026-06
Strategy</t>
        </is>
      </c>
      <c r="I1" s="4" t="inlineStr">
        <is>
          <t>SPY</t>
        </is>
      </c>
      <c r="J1" s="4" t="inlineStr">
        <is>
          <t>S&amp;P 500 price (published)</t>
        </is>
      </c>
      <c r="K1" s="4" t="inlineStr">
        <is>
          <t>Rolling 12 months
2025-07 to 2026-06
Strategy</t>
        </is>
      </c>
      <c r="L1" s="4" t="inlineStr">
        <is>
          <t>SPY</t>
        </is>
      </c>
      <c r="M1" s="4" t="inlineStr">
        <is>
          <t>S&amp;P 500 price (published)</t>
        </is>
      </c>
      <c r="N1" s="4" t="inlineStr">
        <is>
          <t>Family-office period
2012-07 to 2023-07
Strategy</t>
        </is>
      </c>
      <c r="O1" s="4" t="inlineStr">
        <is>
          <t>SPY</t>
        </is>
      </c>
      <c r="P1" s="4" t="inlineStr">
        <is>
          <t>S&amp;P 500 price (published)</t>
        </is>
      </c>
      <c r="Q1" s="4" t="inlineStr">
        <is>
          <t>Commingled fund
2023-08 to 2026-06
Strategy</t>
        </is>
      </c>
      <c r="R1" s="4" t="inlineStr">
        <is>
          <t>SPY</t>
        </is>
      </c>
      <c r="S1" s="4" t="inlineStr">
        <is>
          <t>S&amp;P 500 price (published)</t>
        </is>
      </c>
    </row>
    <row r="2">
      <c r="A2" s="5" t="inlineStr">
        <is>
          <t>Total growth</t>
        </is>
      </c>
      <c r="B2" s="10" t="n">
        <v>43.21507546</v>
      </c>
      <c r="C2" s="6" t="n">
        <v>5.990260399999999</v>
      </c>
      <c r="D2" s="14" t="n">
        <v>4.4939</v>
      </c>
      <c r="E2" s="10" t="n">
        <v>20.45523539</v>
      </c>
      <c r="F2" s="6" t="n">
        <v>3.18953012</v>
      </c>
      <c r="G2" s="14" t="n">
        <v>2.5743</v>
      </c>
      <c r="H2" s="10" t="n">
        <v>2.21723847</v>
      </c>
      <c r="I2" s="6" t="n">
        <v>0.8668239099999999</v>
      </c>
      <c r="J2" s="14" t="n">
        <v>0.7451000000000001</v>
      </c>
      <c r="K2" s="10" t="n">
        <v>0.29081753</v>
      </c>
      <c r="L2" s="6" t="n">
        <v>0.22200759</v>
      </c>
      <c r="M2" s="14" t="n">
        <v>0.2086</v>
      </c>
      <c r="N2" s="10" t="n">
        <v>23.13866169</v>
      </c>
      <c r="O2" s="6" t="n">
        <v>3.12275555</v>
      </c>
      <c r="P2" s="14" t="n"/>
      <c r="Q2" s="10" t="n">
        <v>0.8317119700000001</v>
      </c>
      <c r="R2" s="6" t="n">
        <v>0.6955311399999999</v>
      </c>
      <c r="S2" s="14" t="n"/>
    </row>
    <row r="3">
      <c r="A3" s="5" t="inlineStr">
        <is>
          <t>Annualised return</t>
        </is>
      </c>
      <c r="B3" s="10" t="n">
        <v>0.310813</v>
      </c>
      <c r="C3" s="6" t="n">
        <v>0.14900245</v>
      </c>
      <c r="D3" s="14" t="n">
        <v>0.1294</v>
      </c>
      <c r="E3" s="10" t="n">
        <v>0.35879309</v>
      </c>
      <c r="F3" s="6" t="n">
        <v>0.15402849</v>
      </c>
      <c r="G3" s="14" t="n">
        <v>0.1358</v>
      </c>
      <c r="H3" s="10" t="n">
        <v>0.26327136</v>
      </c>
      <c r="I3" s="6" t="n">
        <v>0.1329759</v>
      </c>
      <c r="J3" s="14" t="n">
        <v>0.1178</v>
      </c>
      <c r="K3" s="10" t="n">
        <v>0.29081753</v>
      </c>
      <c r="L3" s="6" t="n">
        <v>0.22200759</v>
      </c>
      <c r="M3" s="14" t="n">
        <v>0.2086</v>
      </c>
      <c r="N3" s="10" t="n">
        <v>0.33277267</v>
      </c>
      <c r="O3" s="6" t="n">
        <v>0.13633307</v>
      </c>
      <c r="P3" s="14" t="n"/>
      <c r="Q3" s="10" t="n">
        <v>0.23061573</v>
      </c>
      <c r="R3" s="6" t="n">
        <v>0.1984478</v>
      </c>
      <c r="S3" s="14" t="n"/>
    </row>
    <row r="4">
      <c r="A4" s="5" t="inlineStr">
        <is>
          <t>Annualised std. dev.</t>
        </is>
      </c>
      <c r="B4" s="15" t="n">
        <v>0.216911</v>
      </c>
      <c r="C4" s="16" t="n">
        <v>0.140349</v>
      </c>
      <c r="D4" s="17" t="n">
        <v>0.14</v>
      </c>
      <c r="E4" s="15" t="n">
        <v>0.243707</v>
      </c>
      <c r="F4" s="16" t="n">
        <v>0.153041</v>
      </c>
      <c r="G4" s="17" t="n">
        <v>0.153</v>
      </c>
      <c r="H4" s="15" t="n">
        <v>0.166474</v>
      </c>
      <c r="I4" s="16" t="n">
        <v>0.157179</v>
      </c>
      <c r="J4" s="17" t="n">
        <v>0.157</v>
      </c>
      <c r="K4" s="15" t="n">
        <v>0.141007</v>
      </c>
      <c r="L4" s="16" t="n">
        <v>0.125357</v>
      </c>
      <c r="M4" s="17" t="n">
        <v>0.126</v>
      </c>
      <c r="N4" s="15" t="n">
        <v>0.226834</v>
      </c>
      <c r="O4" s="16" t="n">
        <v>0.142738</v>
      </c>
      <c r="P4" s="17" t="n"/>
      <c r="Q4" s="15" t="n">
        <v>0.172624</v>
      </c>
      <c r="R4" s="16" t="n">
        <v>0.13019</v>
      </c>
      <c r="S4" s="17" t="n"/>
    </row>
    <row r="5">
      <c r="A5" s="5" t="inlineStr">
        <is>
          <t>Maximum drawdown</t>
        </is>
      </c>
      <c r="B5" s="10" t="n">
        <v>-0.1365</v>
      </c>
      <c r="C5" s="6" t="n">
        <v>-0.23926266</v>
      </c>
      <c r="D5" s="14" t="n">
        <v>-0.2477</v>
      </c>
      <c r="E5" s="10" t="n">
        <v>-0.1365</v>
      </c>
      <c r="F5" s="6" t="n">
        <v>-0.23926266</v>
      </c>
      <c r="G5" s="14" t="n">
        <v>-0.2477</v>
      </c>
      <c r="H5" s="10" t="n">
        <v>-0.13420575</v>
      </c>
      <c r="I5" s="6" t="n">
        <v>-0.23926266</v>
      </c>
      <c r="J5" s="14" t="n">
        <v>-0.2477</v>
      </c>
      <c r="K5" s="10" t="n">
        <v>-0.08061804</v>
      </c>
      <c r="L5" s="6" t="n">
        <v>-0.05721577</v>
      </c>
      <c r="M5" s="14" t="n">
        <v>-0.0592</v>
      </c>
      <c r="N5" s="10" t="n">
        <v>-0.1365</v>
      </c>
      <c r="O5" s="6" t="n">
        <v>-0.23926266</v>
      </c>
      <c r="P5" s="14" t="n"/>
      <c r="Q5" s="10" t="n">
        <v>-0.13420575</v>
      </c>
      <c r="R5" s="6" t="n">
        <v>-0.08270883</v>
      </c>
      <c r="S5" s="14" t="n"/>
    </row>
    <row r="6">
      <c r="A6" s="5" t="inlineStr">
        <is>
          <t>% positive months</t>
        </is>
      </c>
      <c r="B6" s="18" t="n">
        <v>0.7202381</v>
      </c>
      <c r="C6" s="19" t="n">
        <v>0.70238095</v>
      </c>
      <c r="D6" s="20" t="n">
        <v>0.679</v>
      </c>
      <c r="E6" s="18" t="n">
        <v>0.725</v>
      </c>
      <c r="F6" s="19" t="n">
        <v>0.70833333</v>
      </c>
      <c r="G6" s="20" t="n">
        <v>0.675</v>
      </c>
      <c r="H6" s="18" t="n">
        <v>0.65</v>
      </c>
      <c r="I6" s="19" t="n">
        <v>0.63333333</v>
      </c>
      <c r="J6" s="20" t="n">
        <v>0.617</v>
      </c>
      <c r="K6" s="18" t="n">
        <v>0.66666667</v>
      </c>
      <c r="L6" s="19" t="n">
        <v>0.75</v>
      </c>
      <c r="M6" s="20" t="n">
        <v>0.667</v>
      </c>
      <c r="N6" s="18" t="n">
        <v>0.73684211</v>
      </c>
      <c r="O6" s="19" t="n">
        <v>0.7142857100000001</v>
      </c>
      <c r="P6" s="20" t="n"/>
      <c r="Q6" s="18" t="n">
        <v>0.65714286</v>
      </c>
      <c r="R6" s="19" t="n">
        <v>0.65714286</v>
      </c>
      <c r="S6" s="20" t="n"/>
    </row>
    <row r="7">
      <c r="A7" s="5" t="inlineStr">
        <is>
          <t>Sharpe ratio</t>
        </is>
      </c>
      <c r="B7" s="15" t="n">
        <v>1.275111</v>
      </c>
      <c r="C7" s="16" t="n">
        <v>0.9451079999999999</v>
      </c>
      <c r="D7" s="17" t="n">
        <v>0.819</v>
      </c>
      <c r="E7" s="15" t="n">
        <v>1.27765</v>
      </c>
      <c r="F7" s="16" t="n">
        <v>0.86556</v>
      </c>
      <c r="G7" s="17" t="n">
        <v>0.758</v>
      </c>
      <c r="H7" s="15" t="n">
        <v>1.283904</v>
      </c>
      <c r="I7" s="16" t="n">
        <v>0.652183</v>
      </c>
      <c r="J7" s="17" t="n">
        <v>0.5600000000000001</v>
      </c>
      <c r="K7" s="15" t="n">
        <v>1.636318</v>
      </c>
      <c r="L7" s="16" t="n">
        <v>1.374513</v>
      </c>
      <c r="M7" s="17" t="n">
        <v>1.271</v>
      </c>
      <c r="N7" s="15" t="n">
        <v>1.333963</v>
      </c>
      <c r="O7" s="16" t="n">
        <v>0.903597</v>
      </c>
      <c r="P7" s="17" t="n"/>
      <c r="Q7" s="15" t="n">
        <v>1.038151</v>
      </c>
      <c r="R7" s="16" t="n">
        <v>1.121967</v>
      </c>
      <c r="S7" s="17" t="n"/>
    </row>
    <row r="8">
      <c r="A8" s="5" t="inlineStr">
        <is>
          <t>Sortino ratio</t>
        </is>
      </c>
      <c r="B8" s="15" t="n">
        <v>4.108947</v>
      </c>
      <c r="C8" s="16" t="n">
        <v>1.754156</v>
      </c>
      <c r="D8" s="17" t="n">
        <v>1.489</v>
      </c>
      <c r="E8" s="15" t="n">
        <v>4.646486</v>
      </c>
      <c r="F8" s="16" t="n">
        <v>1.627872</v>
      </c>
      <c r="G8" s="17" t="n">
        <v>1.407</v>
      </c>
      <c r="H8" s="15" t="n">
        <v>3.395091</v>
      </c>
      <c r="I8" s="16" t="n">
        <v>1.390945</v>
      </c>
      <c r="J8" s="17" t="n">
        <v>1.208</v>
      </c>
      <c r="K8" s="15" t="n">
        <v>4.723965</v>
      </c>
      <c r="L8" s="16" t="n">
        <v>4.319623</v>
      </c>
      <c r="M8" s="17" t="n">
        <v>3.954</v>
      </c>
      <c r="N8" s="15" t="n">
        <v>4.57004</v>
      </c>
      <c r="O8" s="16" t="n">
        <v>1.515728</v>
      </c>
      <c r="P8" s="17" t="n"/>
      <c r="Q8" s="15" t="n">
        <v>2.696088</v>
      </c>
      <c r="R8" s="16" t="n">
        <v>3.181654</v>
      </c>
      <c r="S8" s="17" t="n"/>
    </row>
    <row r="9">
      <c r="A9" s="5" t="inlineStr">
        <is>
          <t>Calmar ratio</t>
        </is>
      </c>
      <c r="B9" s="15" t="n">
        <v>2.277018</v>
      </c>
      <c r="C9" s="16" t="n">
        <v>0.622757</v>
      </c>
      <c r="D9" s="17" t="n">
        <v>0.522</v>
      </c>
      <c r="E9" s="15" t="n">
        <v>2.628521</v>
      </c>
      <c r="F9" s="16" t="n">
        <v>0.643763</v>
      </c>
      <c r="G9" s="17" t="n">
        <v>0.548</v>
      </c>
      <c r="H9" s="15" t="n">
        <v>1.9617</v>
      </c>
      <c r="I9" s="16" t="n">
        <v>0.555774</v>
      </c>
      <c r="J9" s="17" t="n">
        <v>0.476</v>
      </c>
      <c r="K9" s="15" t="n">
        <v>3.607351</v>
      </c>
      <c r="L9" s="16" t="n">
        <v>3.880182</v>
      </c>
      <c r="M9" s="17" t="n">
        <v>3.526</v>
      </c>
      <c r="N9" s="15" t="n">
        <v>2.437895</v>
      </c>
      <c r="O9" s="16" t="n">
        <v>0.569805</v>
      </c>
      <c r="P9" s="17" t="n"/>
      <c r="Q9" s="15" t="n">
        <v>1.718374</v>
      </c>
      <c r="R9" s="16" t="n">
        <v>2.399354</v>
      </c>
      <c r="S9" s="17" t="n"/>
    </row>
    <row r="10">
      <c r="A10" s="5" t="inlineStr">
        <is>
          <t>Correlation to SPY</t>
        </is>
      </c>
      <c r="B10" s="15" t="n">
        <v>0.360004</v>
      </c>
      <c r="C10" s="16" t="n">
        <v>1</v>
      </c>
      <c r="D10" s="17" t="n"/>
      <c r="E10" s="15" t="n">
        <v>0.327672</v>
      </c>
      <c r="F10" s="16" t="n">
        <v>1</v>
      </c>
      <c r="G10" s="17" t="n"/>
      <c r="H10" s="15" t="n">
        <v>0.742865</v>
      </c>
      <c r="I10" s="16" t="n">
        <v>1</v>
      </c>
      <c r="J10" s="17" t="n"/>
      <c r="K10" s="15" t="n">
        <v>0.793871</v>
      </c>
      <c r="L10" s="16" t="n">
        <v>1</v>
      </c>
      <c r="M10" s="17" t="n"/>
      <c r="N10" s="15" t="n">
        <v>0.304473</v>
      </c>
      <c r="O10" s="16" t="n">
        <v>1</v>
      </c>
      <c r="P10" s="17" t="n"/>
      <c r="Q10" s="15" t="n">
        <v>0.687422</v>
      </c>
      <c r="R10" s="16" t="n">
        <v>1</v>
      </c>
      <c r="S10" s="17" t="n"/>
    </row>
    <row r="11">
      <c r="A11" s="5" t="inlineStr">
        <is>
          <t>Beta to SPY</t>
        </is>
      </c>
      <c r="B11" s="15" t="n">
        <v>0.556389</v>
      </c>
      <c r="C11" s="16" t="n">
        <v>1</v>
      </c>
      <c r="D11" s="17" t="n"/>
      <c r="E11" s="15" t="n">
        <v>0.521795</v>
      </c>
      <c r="F11" s="16" t="n">
        <v>1</v>
      </c>
      <c r="G11" s="17" t="n"/>
      <c r="H11" s="15" t="n">
        <v>0.786798</v>
      </c>
      <c r="I11" s="16" t="n">
        <v>1</v>
      </c>
      <c r="J11" s="17" t="n"/>
      <c r="K11" s="15" t="n">
        <v>0.892983</v>
      </c>
      <c r="L11" s="16" t="n">
        <v>1</v>
      </c>
      <c r="M11" s="17" t="n"/>
      <c r="N11" s="15" t="n">
        <v>0.483857</v>
      </c>
      <c r="O11" s="16" t="n">
        <v>1</v>
      </c>
      <c r="P11" s="17" t="n"/>
      <c r="Q11" s="15" t="n">
        <v>0.911481</v>
      </c>
      <c r="R11" s="16" t="n">
        <v>1</v>
      </c>
      <c r="S11" s="17" t="n"/>
    </row>
    <row r="12">
      <c r="A12" s="5" t="inlineStr">
        <is>
          <t>Alpha (ann., Jensen)</t>
        </is>
      </c>
      <c r="B12" s="10" t="n">
        <v>0.21084526</v>
      </c>
      <c r="C12" s="6" t="n">
        <v>0</v>
      </c>
      <c r="D12" s="14" t="n"/>
      <c r="E12" s="10" t="n">
        <v>0.25449302</v>
      </c>
      <c r="F12" s="6" t="n">
        <v>0</v>
      </c>
      <c r="G12" s="14" t="n"/>
      <c r="H12" s="10" t="n">
        <v>0.14112782</v>
      </c>
      <c r="I12" s="6" t="n">
        <v>0</v>
      </c>
      <c r="J12" s="14" t="n"/>
      <c r="K12" s="10" t="n">
        <v>0.08045215</v>
      </c>
      <c r="L12" s="6" t="n">
        <v>-0</v>
      </c>
      <c r="M12" s="14" t="n"/>
      <c r="N12" s="10" t="n">
        <v>0.2453837</v>
      </c>
      <c r="O12" s="6" t="n">
        <v>0</v>
      </c>
      <c r="P12" s="14" t="n"/>
      <c r="Q12" s="10" t="n">
        <v>0.05010621000000001</v>
      </c>
      <c r="R12" s="6" t="n">
        <v>0</v>
      </c>
      <c r="S12" s="14" t="n"/>
    </row>
    <row r="13">
      <c r="A13" s="5" t="inlineStr">
        <is>
          <t>Up capture vs SPY</t>
        </is>
      </c>
      <c r="B13" s="18" t="n">
        <v>1.15034017</v>
      </c>
      <c r="C13" s="19" t="n">
        <v>1</v>
      </c>
      <c r="D13" s="20" t="n"/>
      <c r="E13" s="18" t="n">
        <v>1.16755546</v>
      </c>
      <c r="F13" s="19" t="n">
        <v>1</v>
      </c>
      <c r="G13" s="20" t="n"/>
      <c r="H13" s="18" t="n">
        <v>1.09527279</v>
      </c>
      <c r="I13" s="19" t="n">
        <v>1</v>
      </c>
      <c r="J13" s="20" t="n"/>
      <c r="K13" s="18" t="n">
        <v>1.11988844</v>
      </c>
      <c r="L13" s="19" t="n">
        <v>1</v>
      </c>
      <c r="M13" s="20" t="n"/>
      <c r="N13" s="18" t="n">
        <v>1.1742071</v>
      </c>
      <c r="O13" s="19" t="n">
        <v>1</v>
      </c>
      <c r="P13" s="20" t="n"/>
      <c r="Q13" s="18" t="n">
        <v>1.0656646</v>
      </c>
      <c r="R13" s="19" t="n">
        <v>1</v>
      </c>
      <c r="S13" s="20" t="n"/>
    </row>
    <row r="14">
      <c r="A14" s="5" t="inlineStr">
        <is>
          <t>Down capture vs SPY</t>
        </is>
      </c>
      <c r="B14" s="18" t="n">
        <v>0.28024263</v>
      </c>
      <c r="C14" s="19" t="n">
        <v>1</v>
      </c>
      <c r="D14" s="20" t="n"/>
      <c r="E14" s="18" t="n">
        <v>0.18797698</v>
      </c>
      <c r="F14" s="19" t="n">
        <v>1</v>
      </c>
      <c r="G14" s="20" t="n"/>
      <c r="H14" s="18" t="n">
        <v>0.54499436</v>
      </c>
      <c r="I14" s="19" t="n">
        <v>1</v>
      </c>
      <c r="J14" s="20" t="n"/>
      <c r="K14" s="18" t="n">
        <v>0.62224502</v>
      </c>
      <c r="L14" s="19" t="n">
        <v>1</v>
      </c>
      <c r="M14" s="20" t="n"/>
      <c r="N14" s="18" t="n">
        <v>0.13000542</v>
      </c>
      <c r="O14" s="19" t="n">
        <v>1</v>
      </c>
      <c r="P14" s="20" t="n"/>
      <c r="Q14" s="18" t="n">
        <v>0.9063189300000001</v>
      </c>
      <c r="R14" s="19" t="n">
        <v>1</v>
      </c>
      <c r="S14" s="20" t="n"/>
    </row>
    <row r="15">
      <c r="A15" s="5" t="inlineStr">
        <is>
          <t>Growth of $1,000</t>
        </is>
      </c>
      <c r="B15" s="21" t="n">
        <v>44215.075459</v>
      </c>
      <c r="C15" s="8" t="n">
        <v>6990.260398</v>
      </c>
      <c r="D15" s="22" t="n">
        <v>5494</v>
      </c>
      <c r="E15" s="21" t="n">
        <v>21455.235389</v>
      </c>
      <c r="F15" s="8" t="n">
        <v>4189.530119</v>
      </c>
      <c r="G15" s="22" t="n">
        <v>3574</v>
      </c>
      <c r="H15" s="21" t="n">
        <v>3217.238469</v>
      </c>
      <c r="I15" s="8" t="n">
        <v>1866.82391</v>
      </c>
      <c r="J15" s="22" t="n">
        <v>1745</v>
      </c>
      <c r="K15" s="21" t="n">
        <v>1290.817526</v>
      </c>
      <c r="L15" s="8" t="n">
        <v>1222.007587</v>
      </c>
      <c r="M15" s="22" t="n">
        <v>1209</v>
      </c>
      <c r="N15" s="21" t="n">
        <v>24138.66169</v>
      </c>
      <c r="O15" s="8" t="n">
        <v>4122.755549</v>
      </c>
      <c r="P15" s="22" t="n"/>
      <c r="Q15" s="21" t="n">
        <v>1831.711966</v>
      </c>
      <c r="R15" s="8" t="n">
        <v>1695.531135</v>
      </c>
      <c r="S15" s="22" t="n"/>
    </row>
    <row r="16">
      <c r="A16" s="5" t="inlineStr">
        <is>
          <t>Best month</t>
        </is>
      </c>
      <c r="B16" s="10" t="n">
        <v>0.5532</v>
      </c>
      <c r="C16" s="6" t="n">
        <v>0.1281</v>
      </c>
      <c r="D16" s="14" t="n"/>
      <c r="E16" s="10" t="n">
        <v>0.5532</v>
      </c>
      <c r="F16" s="6" t="n">
        <v>0.1281</v>
      </c>
      <c r="G16" s="14" t="n"/>
      <c r="H16" s="10" t="n">
        <v>0.1231</v>
      </c>
      <c r="I16" s="6" t="n">
        <v>0.1048</v>
      </c>
      <c r="J16" s="14" t="n"/>
      <c r="K16" s="10" t="n">
        <v>0.0848</v>
      </c>
      <c r="L16" s="6" t="n">
        <v>0.1048</v>
      </c>
      <c r="M16" s="14" t="n"/>
      <c r="N16" s="10" t="n">
        <v>0.5532</v>
      </c>
      <c r="O16" s="6" t="n">
        <v>0.1281</v>
      </c>
      <c r="P16" s="14" t="n"/>
      <c r="Q16" s="10" t="n">
        <v>0.1231</v>
      </c>
      <c r="R16" s="6" t="n">
        <v>0.1048</v>
      </c>
      <c r="S16" s="14" t="n"/>
    </row>
    <row r="17">
      <c r="A17" s="5" t="inlineStr">
        <is>
          <t>Worst month</t>
        </is>
      </c>
      <c r="B17" s="10" t="n">
        <v>-0.1365</v>
      </c>
      <c r="C17" s="6" t="n">
        <v>-0.1236</v>
      </c>
      <c r="D17" s="14" t="n"/>
      <c r="E17" s="10" t="n">
        <v>-0.1365</v>
      </c>
      <c r="F17" s="6" t="n">
        <v>-0.1236</v>
      </c>
      <c r="G17" s="14" t="n"/>
      <c r="H17" s="10" t="n">
        <v>-0.08160000000000001</v>
      </c>
      <c r="I17" s="6" t="n">
        <v>-0.0922</v>
      </c>
      <c r="J17" s="14" t="n"/>
      <c r="K17" s="10" t="n">
        <v>-0.0474</v>
      </c>
      <c r="L17" s="6" t="n">
        <v>-0.0499</v>
      </c>
      <c r="M17" s="14" t="n"/>
      <c r="N17" s="10" t="n">
        <v>-0.1365</v>
      </c>
      <c r="O17" s="6" t="n">
        <v>-0.1236</v>
      </c>
      <c r="P17" s="14" t="n"/>
      <c r="Q17" s="10" t="n">
        <v>-0.0755</v>
      </c>
      <c r="R17" s="6" t="n">
        <v>-0.0564</v>
      </c>
      <c r="S17" s="14" t="n"/>
    </row>
    <row r="18">
      <c r="A18" s="5" t="inlineStr">
        <is>
          <t>Up months</t>
        </is>
      </c>
      <c r="B18" s="23" t="n">
        <v>121</v>
      </c>
      <c r="C18" s="24" t="n">
        <v>118</v>
      </c>
      <c r="D18" s="25" t="n"/>
      <c r="E18" s="23" t="n">
        <v>87</v>
      </c>
      <c r="F18" s="24" t="n">
        <v>85</v>
      </c>
      <c r="G18" s="25" t="n"/>
      <c r="H18" s="23" t="n">
        <v>39</v>
      </c>
      <c r="I18" s="24" t="n">
        <v>38</v>
      </c>
      <c r="J18" s="25" t="n"/>
      <c r="K18" s="23" t="n">
        <v>8</v>
      </c>
      <c r="L18" s="24" t="n">
        <v>9</v>
      </c>
      <c r="M18" s="25" t="n"/>
      <c r="N18" s="23" t="n">
        <v>98</v>
      </c>
      <c r="O18" s="24" t="n">
        <v>95</v>
      </c>
      <c r="P18" s="25" t="n"/>
      <c r="Q18" s="23" t="n">
        <v>23</v>
      </c>
      <c r="R18" s="24" t="n">
        <v>23</v>
      </c>
      <c r="S18" s="25" t="n"/>
    </row>
    <row r="19">
      <c r="A19" s="5" t="inlineStr">
        <is>
          <t>Down months</t>
        </is>
      </c>
      <c r="B19" s="23" t="n">
        <v>44</v>
      </c>
      <c r="C19" s="24" t="n">
        <v>50</v>
      </c>
      <c r="D19" s="25" t="n"/>
      <c r="E19" s="23" t="n">
        <v>31</v>
      </c>
      <c r="F19" s="24" t="n">
        <v>35</v>
      </c>
      <c r="G19" s="25" t="n"/>
      <c r="H19" s="23" t="n">
        <v>19</v>
      </c>
      <c r="I19" s="24" t="n">
        <v>22</v>
      </c>
      <c r="J19" s="25" t="n"/>
      <c r="K19" s="23" t="n">
        <v>4</v>
      </c>
      <c r="L19" s="24" t="n">
        <v>3</v>
      </c>
      <c r="M19" s="25" t="n"/>
      <c r="N19" s="23" t="n">
        <v>32</v>
      </c>
      <c r="O19" s="24" t="n">
        <v>38</v>
      </c>
      <c r="P19" s="25" t="n"/>
      <c r="Q19" s="23" t="n">
        <v>12</v>
      </c>
      <c r="R19" s="24" t="n">
        <v>12</v>
      </c>
      <c r="S19" s="25" t="n"/>
    </row>
    <row r="20"/>
    <row r="21">
      <c r="A21" s="13" t="inlineStr">
        <is>
          <t>Reconciliation to the published factsheet: 142 of 144 statistics within tolerance; the 2 exceptions are SPY total-growth figures off by 0.06-0.23 pp from compounding 2-decimal monthly returns. S&amp;P 500 price column is quoted from the factsheet (price-only index; no monthly series supplied).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8" customWidth="1" min="5" max="5"/>
    <col width="11" customWidth="1" min="6" max="6"/>
    <col width="19" customWidth="1" min="7" max="7"/>
  </cols>
  <sheetData>
    <row r="1">
      <c r="A1" s="4" t="inlineStr">
        <is>
          <t>Series</t>
        </is>
      </c>
      <c r="B1" s="4" t="inlineStr">
        <is>
          <t>Depth</t>
        </is>
      </c>
      <c r="C1" s="4" t="inlineStr">
        <is>
          <t>Peak</t>
        </is>
      </c>
      <c r="D1" s="4" t="inlineStr">
        <is>
          <t>Trough</t>
        </is>
      </c>
      <c r="E1" s="4" t="inlineStr">
        <is>
          <t>Months to trough</t>
        </is>
      </c>
      <c r="F1" s="4" t="inlineStr">
        <is>
          <t>Recovered</t>
        </is>
      </c>
      <c r="G1" s="4" t="inlineStr">
        <is>
          <t>Months to recover</t>
        </is>
      </c>
    </row>
    <row r="2">
      <c r="A2" s="5" t="inlineStr">
        <is>
          <t>Strategy</t>
        </is>
      </c>
      <c r="B2" s="6" t="n">
        <v>-0.1365</v>
      </c>
      <c r="C2" s="5" t="inlineStr">
        <is>
          <t>2020-01</t>
        </is>
      </c>
      <c r="D2" s="5" t="inlineStr">
        <is>
          <t>2020-02</t>
        </is>
      </c>
      <c r="E2" s="5" t="n">
        <v>2</v>
      </c>
      <c r="F2" s="5" t="inlineStr">
        <is>
          <t>2020-03</t>
        </is>
      </c>
      <c r="G2" s="5" t="n">
        <v>1</v>
      </c>
    </row>
    <row r="3">
      <c r="A3" s="5" t="inlineStr">
        <is>
          <t>Strategy</t>
        </is>
      </c>
      <c r="B3" s="6" t="n">
        <v>-0.13420575</v>
      </c>
      <c r="C3" s="5" t="inlineStr">
        <is>
          <t>2025-01</t>
        </is>
      </c>
      <c r="D3" s="5" t="inlineStr">
        <is>
          <t>2025-03</t>
        </is>
      </c>
      <c r="E3" s="5" t="n">
        <v>5</v>
      </c>
      <c r="F3" s="5" t="inlineStr">
        <is>
          <t>2025-06</t>
        </is>
      </c>
      <c r="G3" s="5" t="n">
        <v>3</v>
      </c>
    </row>
    <row r="4">
      <c r="A4" s="5" t="inlineStr">
        <is>
          <t>Strategy</t>
        </is>
      </c>
      <c r="B4" s="6" t="n">
        <v>-0.12257313</v>
      </c>
      <c r="C4" s="5" t="inlineStr">
        <is>
          <t>2014-09</t>
        </is>
      </c>
      <c r="D4" s="5" t="inlineStr">
        <is>
          <t>2015-08</t>
        </is>
      </c>
      <c r="E4" s="5" t="n">
        <v>15</v>
      </c>
      <c r="F4" s="5" t="inlineStr">
        <is>
          <t>2015-12</t>
        </is>
      </c>
      <c r="G4" s="5" t="n">
        <v>4</v>
      </c>
    </row>
    <row r="5">
      <c r="A5" s="5" t="inlineStr">
        <is>
          <t>Strategy</t>
        </is>
      </c>
      <c r="B5" s="6" t="n">
        <v>-0.08536543999999999</v>
      </c>
      <c r="C5" s="5" t="inlineStr">
        <is>
          <t>2022-07</t>
        </is>
      </c>
      <c r="D5" s="5" t="inlineStr">
        <is>
          <t>2022-09</t>
        </is>
      </c>
      <c r="E5" s="5" t="n">
        <v>3</v>
      </c>
      <c r="F5" s="5" t="inlineStr">
        <is>
          <t>2022-10</t>
        </is>
      </c>
      <c r="G5" s="5" t="n">
        <v>1</v>
      </c>
    </row>
    <row r="6">
      <c r="A6" s="5" t="inlineStr">
        <is>
          <t>Strategy</t>
        </is>
      </c>
      <c r="B6" s="6" t="n">
        <v>-0.08061804</v>
      </c>
      <c r="C6" s="5" t="inlineStr">
        <is>
          <t>2025-10</t>
        </is>
      </c>
      <c r="D6" s="5" t="inlineStr">
        <is>
          <t>2026-03</t>
        </is>
      </c>
      <c r="E6" s="5" t="n">
        <v>7</v>
      </c>
      <c r="F6" s="5" t="inlineStr">
        <is>
          <t>2026-05</t>
        </is>
      </c>
      <c r="G6" s="5" t="n">
        <v>2</v>
      </c>
    </row>
    <row r="7">
      <c r="A7" s="11" t="inlineStr">
        <is>
          <t>SPY</t>
        </is>
      </c>
      <c r="B7" s="12" t="n">
        <v>-0.23926266</v>
      </c>
      <c r="C7" s="11" t="inlineStr">
        <is>
          <t>2021-12</t>
        </is>
      </c>
      <c r="D7" s="11" t="inlineStr">
        <is>
          <t>2022-09</t>
        </is>
      </c>
      <c r="E7" s="11" t="n">
        <v>24</v>
      </c>
      <c r="F7" s="11" t="inlineStr">
        <is>
          <t>2023-12</t>
        </is>
      </c>
      <c r="G7" s="11" t="n">
        <v>15</v>
      </c>
    </row>
    <row r="8">
      <c r="A8" s="11" t="inlineStr">
        <is>
          <t>SPY</t>
        </is>
      </c>
      <c r="B8" s="12" t="n">
        <v>-0.19621745</v>
      </c>
      <c r="C8" s="11" t="inlineStr">
        <is>
          <t>2019-12</t>
        </is>
      </c>
      <c r="D8" s="11" t="inlineStr">
        <is>
          <t>2020-03</t>
        </is>
      </c>
      <c r="E8" s="11" t="n">
        <v>7</v>
      </c>
      <c r="F8" s="11" t="inlineStr">
        <is>
          <t>2020-07</t>
        </is>
      </c>
      <c r="G8" s="11" t="n">
        <v>4</v>
      </c>
    </row>
    <row r="9">
      <c r="A9" s="11" t="inlineStr">
        <is>
          <t>SPY</t>
        </is>
      </c>
      <c r="B9" s="12" t="n">
        <v>-0.13541476</v>
      </c>
      <c r="C9" s="11" t="inlineStr">
        <is>
          <t>2018-09</t>
        </is>
      </c>
      <c r="D9" s="11" t="inlineStr">
        <is>
          <t>2018-12</t>
        </is>
      </c>
      <c r="E9" s="11" t="n">
        <v>7</v>
      </c>
      <c r="F9" s="11" t="inlineStr">
        <is>
          <t>2019-04</t>
        </is>
      </c>
      <c r="G9" s="11" t="n">
        <v>4</v>
      </c>
    </row>
    <row r="10">
      <c r="A10" s="11" t="inlineStr">
        <is>
          <t>SPY</t>
        </is>
      </c>
      <c r="B10" s="12" t="n">
        <v>-0.08370208</v>
      </c>
      <c r="C10" s="11" t="inlineStr">
        <is>
          <t>2015-07</t>
        </is>
      </c>
      <c r="D10" s="11" t="inlineStr">
        <is>
          <t>2015-09</t>
        </is>
      </c>
      <c r="E10" s="11" t="n">
        <v>10</v>
      </c>
      <c r="F10" s="11" t="inlineStr">
        <is>
          <t>2016-05</t>
        </is>
      </c>
      <c r="G10" s="11" t="n">
        <v>8</v>
      </c>
    </row>
    <row r="11">
      <c r="A11" s="11" t="inlineStr">
        <is>
          <t>SPY</t>
        </is>
      </c>
      <c r="B11" s="12" t="n">
        <v>-0.07518671</v>
      </c>
      <c r="C11" s="11" t="inlineStr">
        <is>
          <t>2025-01</t>
        </is>
      </c>
      <c r="D11" s="11" t="inlineStr">
        <is>
          <t>2025-04</t>
        </is>
      </c>
      <c r="E11" s="11" t="n">
        <v>5</v>
      </c>
      <c r="F11" s="11" t="inlineStr">
        <is>
          <t>2025-06</t>
        </is>
      </c>
      <c r="G11" s="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4" customWidth="1" min="4" max="4"/>
  </cols>
  <sheetData>
    <row r="1">
      <c r="A1" s="9" t="inlineStr">
        <is>
          <t>Strategy's ten worst months</t>
        </is>
      </c>
    </row>
    <row r="2">
      <c r="A2" s="4" t="inlineStr">
        <is>
          <t>Month</t>
        </is>
      </c>
      <c r="B2" s="4" t="inlineStr">
        <is>
          <t>Strategy</t>
        </is>
      </c>
      <c r="C2" s="4" t="inlineStr">
        <is>
          <t>SPY</t>
        </is>
      </c>
      <c r="D2" s="4" t="inlineStr">
        <is>
          <t>Excess</t>
        </is>
      </c>
    </row>
    <row r="3">
      <c r="A3" s="5" t="inlineStr">
        <is>
          <t>2020-02</t>
        </is>
      </c>
      <c r="B3" s="6" t="n">
        <v>-0.1365</v>
      </c>
      <c r="C3" s="6" t="n">
        <v>-0.0824</v>
      </c>
      <c r="D3" s="6" t="n">
        <v>-0.0541</v>
      </c>
    </row>
    <row r="4">
      <c r="A4" s="5" t="inlineStr">
        <is>
          <t>2015-06</t>
        </is>
      </c>
      <c r="B4" s="6" t="n">
        <v>-0.1065</v>
      </c>
      <c r="C4" s="6" t="n">
        <v>-0.0194</v>
      </c>
      <c r="D4" s="6" t="n">
        <v>-0.08710000000000001</v>
      </c>
    </row>
    <row r="5">
      <c r="A5" s="5" t="inlineStr">
        <is>
          <t>2022-09</t>
        </is>
      </c>
      <c r="B5" s="6" t="n">
        <v>-0.08160000000000001</v>
      </c>
      <c r="C5" s="6" t="n">
        <v>-0.0922</v>
      </c>
      <c r="D5" s="6" t="n">
        <v>0.01060000000000001</v>
      </c>
    </row>
    <row r="6">
      <c r="A6" s="5" t="inlineStr">
        <is>
          <t>2025-03</t>
        </is>
      </c>
      <c r="B6" s="6" t="n">
        <v>-0.0755</v>
      </c>
      <c r="C6" s="6" t="n">
        <v>-0.0564</v>
      </c>
      <c r="D6" s="6" t="n">
        <v>-0.0191</v>
      </c>
    </row>
    <row r="7">
      <c r="A7" s="5" t="inlineStr">
        <is>
          <t>2020-10</t>
        </is>
      </c>
      <c r="B7" s="6" t="n">
        <v>-0.0692</v>
      </c>
      <c r="C7" s="6" t="n">
        <v>-0.0267</v>
      </c>
      <c r="D7" s="6" t="n">
        <v>-0.0425</v>
      </c>
    </row>
    <row r="8">
      <c r="A8" s="5" t="inlineStr">
        <is>
          <t>2025-02</t>
        </is>
      </c>
      <c r="B8" s="6" t="n">
        <v>-0.0635</v>
      </c>
      <c r="C8" s="6" t="n">
        <v>-0.0131</v>
      </c>
      <c r="D8" s="6" t="n">
        <v>-0.05039999999999999</v>
      </c>
    </row>
    <row r="9">
      <c r="A9" s="5" t="inlineStr">
        <is>
          <t>2014-12</t>
        </is>
      </c>
      <c r="B9" s="6" t="n">
        <v>-0.0619</v>
      </c>
      <c r="C9" s="6" t="n">
        <v>-0.0026</v>
      </c>
      <c r="D9" s="6" t="n">
        <v>-0.05930000000000001</v>
      </c>
    </row>
    <row r="10">
      <c r="A10" s="5" t="inlineStr">
        <is>
          <t>2023-10</t>
        </is>
      </c>
      <c r="B10" s="6" t="n">
        <v>-0.0574</v>
      </c>
      <c r="C10" s="6" t="n">
        <v>-0.0211</v>
      </c>
      <c r="D10" s="6" t="n">
        <v>-0.03630000000000001</v>
      </c>
    </row>
    <row r="11">
      <c r="A11" s="5" t="inlineStr">
        <is>
          <t>2019-08</t>
        </is>
      </c>
      <c r="B11" s="6" t="n">
        <v>-0.0562</v>
      </c>
      <c r="C11" s="6" t="n">
        <v>-0.0159</v>
      </c>
      <c r="D11" s="6" t="n">
        <v>-0.0403</v>
      </c>
    </row>
    <row r="12">
      <c r="A12" s="5" t="inlineStr">
        <is>
          <t>2024-10</t>
        </is>
      </c>
      <c r="B12" s="6" t="n">
        <v>-0.0492</v>
      </c>
      <c r="C12" s="6" t="n">
        <v>-0.0092</v>
      </c>
      <c r="D12" s="6" t="n">
        <v>-0.04</v>
      </c>
    </row>
    <row r="13"/>
    <row r="14">
      <c r="A14" s="9" t="inlineStr">
        <is>
          <t>Strategy's ten best months</t>
        </is>
      </c>
    </row>
    <row r="15">
      <c r="A15" s="4" t="inlineStr">
        <is>
          <t>Month</t>
        </is>
      </c>
      <c r="B15" s="4" t="inlineStr">
        <is>
          <t>Strategy</t>
        </is>
      </c>
      <c r="C15" s="4" t="inlineStr">
        <is>
          <t>SPY</t>
        </is>
      </c>
      <c r="D15" s="4" t="inlineStr">
        <is>
          <t>Excess</t>
        </is>
      </c>
    </row>
    <row r="16">
      <c r="A16" s="5" t="inlineStr">
        <is>
          <t>2020-03</t>
        </is>
      </c>
      <c r="B16" s="6" t="n">
        <v>0.5532</v>
      </c>
      <c r="C16" s="6" t="n">
        <v>-0.1236</v>
      </c>
      <c r="D16" s="6" t="n">
        <v>0.6768000000000001</v>
      </c>
    </row>
    <row r="17">
      <c r="A17" s="5" t="inlineStr">
        <is>
          <t>2020-04</t>
        </is>
      </c>
      <c r="B17" s="6" t="n">
        <v>0.2965</v>
      </c>
      <c r="C17" s="6" t="n">
        <v>0.1281</v>
      </c>
      <c r="D17" s="6" t="n">
        <v>0.1684</v>
      </c>
    </row>
    <row r="18">
      <c r="A18" s="5" t="inlineStr">
        <is>
          <t>2020-11</t>
        </is>
      </c>
      <c r="B18" s="6" t="n">
        <v>0.1687</v>
      </c>
      <c r="C18" s="6" t="n">
        <v>0.1094</v>
      </c>
      <c r="D18" s="6" t="n">
        <v>0.05930000000000001</v>
      </c>
    </row>
    <row r="19">
      <c r="A19" s="5" t="inlineStr">
        <is>
          <t>2025-01</t>
        </is>
      </c>
      <c r="B19" s="6" t="n">
        <v>0.1231</v>
      </c>
      <c r="C19" s="6" t="n">
        <v>0.0278</v>
      </c>
      <c r="D19" s="6" t="n">
        <v>0.09530000000000001</v>
      </c>
    </row>
    <row r="20">
      <c r="A20" s="5" t="inlineStr">
        <is>
          <t>2022-07</t>
        </is>
      </c>
      <c r="B20" s="6" t="n">
        <v>0.1064</v>
      </c>
      <c r="C20" s="6" t="n">
        <v>0.09210000000000002</v>
      </c>
      <c r="D20" s="6" t="n">
        <v>0.0143</v>
      </c>
    </row>
    <row r="21">
      <c r="A21" s="5" t="inlineStr">
        <is>
          <t>2025-06</t>
        </is>
      </c>
      <c r="B21" s="6" t="n">
        <v>0.1008</v>
      </c>
      <c r="C21" s="6" t="n">
        <v>0.0508</v>
      </c>
      <c r="D21" s="6" t="n">
        <v>0.05</v>
      </c>
    </row>
    <row r="22">
      <c r="A22" s="5" t="inlineStr">
        <is>
          <t>2022-10</t>
        </is>
      </c>
      <c r="B22" s="6" t="n">
        <v>0.1004</v>
      </c>
      <c r="C22" s="6" t="n">
        <v>0.0809</v>
      </c>
      <c r="D22" s="6" t="n">
        <v>0.01949999999999999</v>
      </c>
    </row>
    <row r="23">
      <c r="A23" s="5" t="inlineStr">
        <is>
          <t>2020-05</t>
        </is>
      </c>
      <c r="B23" s="6" t="n">
        <v>0.09660000000000001</v>
      </c>
      <c r="C23" s="6" t="n">
        <v>0.0475</v>
      </c>
      <c r="D23" s="6" t="n">
        <v>0.0491</v>
      </c>
    </row>
    <row r="24">
      <c r="A24" s="5" t="inlineStr">
        <is>
          <t>2023-01</t>
        </is>
      </c>
      <c r="B24" s="6" t="n">
        <v>0.0965</v>
      </c>
      <c r="C24" s="6" t="n">
        <v>0.06280000000000001</v>
      </c>
      <c r="D24" s="6" t="n">
        <v>0.0337</v>
      </c>
    </row>
    <row r="25">
      <c r="A25" s="5" t="inlineStr">
        <is>
          <t>2015-10</t>
        </is>
      </c>
      <c r="B25" s="6" t="n">
        <v>0.08990000000000001</v>
      </c>
      <c r="C25" s="6" t="n">
        <v>0.0843</v>
      </c>
      <c r="D25" s="6" t="n">
        <v>0.005600000000000005</v>
      </c>
    </row>
    <row r="26"/>
    <row r="27">
      <c r="A27" s="9" t="inlineStr">
        <is>
          <t>SPY's ten worst months</t>
        </is>
      </c>
    </row>
    <row r="28">
      <c r="A28" s="4" t="inlineStr">
        <is>
          <t>Month</t>
        </is>
      </c>
      <c r="B28" s="4" t="inlineStr">
        <is>
          <t>Strategy</t>
        </is>
      </c>
      <c r="C28" s="4" t="inlineStr">
        <is>
          <t>SPY</t>
        </is>
      </c>
      <c r="D28" s="4" t="inlineStr">
        <is>
          <t>Excess</t>
        </is>
      </c>
    </row>
    <row r="29">
      <c r="A29" s="5" t="inlineStr">
        <is>
          <t>2020-03</t>
        </is>
      </c>
      <c r="B29" s="6" t="n">
        <v>0.5532</v>
      </c>
      <c r="C29" s="6" t="n">
        <v>-0.1236</v>
      </c>
      <c r="D29" s="6" t="n">
        <v>0.6768000000000001</v>
      </c>
    </row>
    <row r="30">
      <c r="A30" s="5" t="inlineStr">
        <is>
          <t>2022-09</t>
        </is>
      </c>
      <c r="B30" s="6" t="n">
        <v>-0.08160000000000001</v>
      </c>
      <c r="C30" s="6" t="n">
        <v>-0.0922</v>
      </c>
      <c r="D30" s="6" t="n">
        <v>0.01060000000000001</v>
      </c>
    </row>
    <row r="31">
      <c r="A31" s="5" t="inlineStr">
        <is>
          <t>2018-12</t>
        </is>
      </c>
      <c r="B31" s="6" t="n">
        <v>-0.0163</v>
      </c>
      <c r="C31" s="6" t="n">
        <v>-0.09039999999999999</v>
      </c>
      <c r="D31" s="6" t="n">
        <v>0.0741</v>
      </c>
    </row>
    <row r="32">
      <c r="A32" s="5" t="inlineStr">
        <is>
          <t>2022-04</t>
        </is>
      </c>
      <c r="B32" s="6" t="n">
        <v>0</v>
      </c>
      <c r="C32" s="6" t="n">
        <v>-0.0873</v>
      </c>
      <c r="D32" s="6" t="n">
        <v>0.0873</v>
      </c>
    </row>
    <row r="33">
      <c r="A33" s="5" t="inlineStr">
        <is>
          <t>2022-06</t>
        </is>
      </c>
      <c r="B33" s="6" t="n">
        <v>0</v>
      </c>
      <c r="C33" s="6" t="n">
        <v>-0.08259999999999999</v>
      </c>
      <c r="D33" s="6" t="n">
        <v>0.08259999999999999</v>
      </c>
    </row>
    <row r="34">
      <c r="A34" s="5" t="inlineStr">
        <is>
          <t>2020-02</t>
        </is>
      </c>
      <c r="B34" s="6" t="n">
        <v>-0.1365</v>
      </c>
      <c r="C34" s="6" t="n">
        <v>-0.0824</v>
      </c>
      <c r="D34" s="6" t="n">
        <v>-0.0541</v>
      </c>
    </row>
    <row r="35">
      <c r="A35" s="5" t="inlineStr">
        <is>
          <t>2018-10</t>
        </is>
      </c>
      <c r="B35" s="6" t="n">
        <v>-0.0076</v>
      </c>
      <c r="C35" s="6" t="n">
        <v>-0.0684</v>
      </c>
      <c r="D35" s="6" t="n">
        <v>0.0608</v>
      </c>
    </row>
    <row r="36">
      <c r="A36" s="5" t="inlineStr">
        <is>
          <t>2019-05</t>
        </is>
      </c>
      <c r="B36" s="6" t="n">
        <v>-0.0389</v>
      </c>
      <c r="C36" s="6" t="n">
        <v>-0.0636</v>
      </c>
      <c r="D36" s="6" t="n">
        <v>0.0247</v>
      </c>
    </row>
    <row r="37">
      <c r="A37" s="5" t="inlineStr">
        <is>
          <t>2015-08</t>
        </is>
      </c>
      <c r="B37" s="6" t="n">
        <v>-0.0479</v>
      </c>
      <c r="C37" s="6" t="n">
        <v>-0.0604</v>
      </c>
      <c r="D37" s="6" t="n">
        <v>0.0125</v>
      </c>
    </row>
    <row r="38">
      <c r="A38" s="5" t="inlineStr">
        <is>
          <t>2022-12</t>
        </is>
      </c>
      <c r="B38" s="6" t="n">
        <v>-0.0203</v>
      </c>
      <c r="C38" s="6" t="n">
        <v>-0.05769999999999999</v>
      </c>
      <c r="D38" s="6" t="n">
        <v>0.0374</v>
      </c>
    </row>
    <row r="39"/>
    <row r="40">
      <c r="A40" s="9" t="inlineStr">
        <is>
          <t>SPY's ten best months</t>
        </is>
      </c>
    </row>
    <row r="41">
      <c r="A41" s="4" t="inlineStr">
        <is>
          <t>Month</t>
        </is>
      </c>
      <c r="B41" s="4" t="inlineStr">
        <is>
          <t>Strategy</t>
        </is>
      </c>
      <c r="C41" s="4" t="inlineStr">
        <is>
          <t>SPY</t>
        </is>
      </c>
      <c r="D41" s="4" t="inlineStr">
        <is>
          <t>Excess</t>
        </is>
      </c>
    </row>
    <row r="42">
      <c r="A42" s="5" t="inlineStr">
        <is>
          <t>2020-04</t>
        </is>
      </c>
      <c r="B42" s="6" t="n">
        <v>0.2965</v>
      </c>
      <c r="C42" s="6" t="n">
        <v>0.1281</v>
      </c>
      <c r="D42" s="6" t="n">
        <v>0.1684</v>
      </c>
    </row>
    <row r="43">
      <c r="A43" s="5" t="inlineStr">
        <is>
          <t>2020-11</t>
        </is>
      </c>
      <c r="B43" s="6" t="n">
        <v>0.1687</v>
      </c>
      <c r="C43" s="6" t="n">
        <v>0.1094</v>
      </c>
      <c r="D43" s="6" t="n">
        <v>0.05930000000000001</v>
      </c>
    </row>
    <row r="44">
      <c r="A44" s="5" t="inlineStr">
        <is>
          <t>2026-04</t>
        </is>
      </c>
      <c r="B44" s="6" t="n">
        <v>0.0848</v>
      </c>
      <c r="C44" s="6" t="n">
        <v>0.1048</v>
      </c>
      <c r="D44" s="6" t="n">
        <v>-0.02</v>
      </c>
    </row>
    <row r="45">
      <c r="A45" s="5" t="inlineStr">
        <is>
          <t>2022-07</t>
        </is>
      </c>
      <c r="B45" s="6" t="n">
        <v>0.1064</v>
      </c>
      <c r="C45" s="6" t="n">
        <v>0.09210000000000002</v>
      </c>
      <c r="D45" s="6" t="n">
        <v>0.0143</v>
      </c>
    </row>
    <row r="46">
      <c r="A46" s="5" t="inlineStr">
        <is>
          <t>2023-11</t>
        </is>
      </c>
      <c r="B46" s="6" t="n">
        <v>0.0431</v>
      </c>
      <c r="C46" s="6" t="n">
        <v>0.09119999999999999</v>
      </c>
      <c r="D46" s="6" t="n">
        <v>-0.0481</v>
      </c>
    </row>
    <row r="47">
      <c r="A47" s="5" t="inlineStr">
        <is>
          <t>2015-10</t>
        </is>
      </c>
      <c r="B47" s="6" t="n">
        <v>0.08990000000000001</v>
      </c>
      <c r="C47" s="6" t="n">
        <v>0.0843</v>
      </c>
      <c r="D47" s="6" t="n">
        <v>0.005600000000000005</v>
      </c>
    </row>
    <row r="48">
      <c r="A48" s="5" t="inlineStr">
        <is>
          <t>2022-10</t>
        </is>
      </c>
      <c r="B48" s="6" t="n">
        <v>0.1004</v>
      </c>
      <c r="C48" s="6" t="n">
        <v>0.0809</v>
      </c>
      <c r="D48" s="6" t="n">
        <v>0.01949999999999999</v>
      </c>
    </row>
    <row r="49">
      <c r="A49" s="5" t="inlineStr">
        <is>
          <t>2019-01</t>
        </is>
      </c>
      <c r="B49" s="6" t="n">
        <v>0.0765</v>
      </c>
      <c r="C49" s="6" t="n">
        <v>0.0801</v>
      </c>
      <c r="D49" s="6" t="n">
        <v>-0.003599999999999994</v>
      </c>
    </row>
    <row r="50">
      <c r="A50" s="5" t="inlineStr">
        <is>
          <t>2020-08</t>
        </is>
      </c>
      <c r="B50" s="6" t="n">
        <v>0.07440000000000001</v>
      </c>
      <c r="C50" s="6" t="n">
        <v>0.0718</v>
      </c>
      <c r="D50" s="6" t="n">
        <v>0.002600000000000007</v>
      </c>
    </row>
    <row r="51">
      <c r="A51" s="5" t="inlineStr">
        <is>
          <t>2019-06</t>
        </is>
      </c>
      <c r="B51" s="6" t="n">
        <v>0.0475</v>
      </c>
      <c r="C51" s="6" t="n">
        <v>0.0704</v>
      </c>
      <c r="D51" s="6" t="n">
        <v>-0.0229</v>
      </c>
    </row>
    <row r="52"/>
    <row r="53">
      <c r="A53" s="9" t="inlineStr">
        <is>
          <t>SPY-down months: strategy behaviour</t>
        </is>
      </c>
    </row>
    <row r="54">
      <c r="A54" s="5" t="inlineStr">
        <is>
          <t>SPY down months</t>
        </is>
      </c>
      <c r="B54" s="24" t="n">
        <v>50</v>
      </c>
    </row>
    <row r="55">
      <c r="A55" s="5" t="inlineStr">
        <is>
          <t>Strategy average in SPY-down months</t>
        </is>
      </c>
      <c r="B55" s="6" t="n">
        <v>-0.005558</v>
      </c>
    </row>
    <row r="56">
      <c r="A56" s="5" t="inlineStr">
        <is>
          <t>SPY average in its down months</t>
        </is>
      </c>
      <c r="B56" s="6" t="n">
        <v>-0.035346</v>
      </c>
    </row>
    <row r="57">
      <c r="A57" s="5" t="inlineStr">
        <is>
          <t>Strategy beat SPY in down months</t>
        </is>
      </c>
      <c r="B57" s="19" t="n">
        <v>0.78</v>
      </c>
    </row>
    <row r="58">
      <c r="A58" s="5" t="inlineStr">
        <is>
          <t>Strategy positive in SPY-down months</t>
        </is>
      </c>
      <c r="B58" s="19" t="n">
        <v>0.34</v>
      </c>
    </row>
    <row r="59">
      <c r="A59" s="5" t="inlineStr">
        <is>
          <t>Months strategy beat SPY (all)</t>
        </is>
      </c>
      <c r="B59" s="24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3" customWidth="1" min="3" max="3"/>
    <col width="60" customWidth="1" min="4" max="4"/>
  </cols>
  <sheetData>
    <row r="1">
      <c r="A1" s="4" t="inlineStr">
        <is>
          <t>Quadrant</t>
        </is>
      </c>
      <c r="B1" s="4" t="inlineStr">
        <is>
          <t>Days (published)</t>
        </is>
      </c>
      <c r="C1" s="4" t="inlineStr">
        <is>
          <t>Share of quadrant sum</t>
        </is>
      </c>
      <c r="D1" s="4" t="inlineStr">
        <is>
          <t>Description</t>
        </is>
      </c>
    </row>
    <row r="2">
      <c r="A2" s="5" t="inlineStr">
        <is>
          <t>Loss avoidance</t>
        </is>
      </c>
      <c r="B2" s="5" t="n">
        <v>804</v>
      </c>
      <c r="C2" s="19" t="n">
        <v>0.2312338222605695</v>
      </c>
      <c r="D2" s="5" t="inlineStr">
        <is>
          <t>In cash while the market fell</t>
        </is>
      </c>
    </row>
    <row r="3">
      <c r="A3" s="5" t="inlineStr">
        <is>
          <t>Gain sacrifice</t>
        </is>
      </c>
      <c r="B3" s="5" t="n">
        <v>883</v>
      </c>
      <c r="C3" s="19" t="n">
        <v>0.2539545585274662</v>
      </c>
      <c r="D3" s="5" t="inlineStr">
        <is>
          <t>In cash while the market rose</t>
        </is>
      </c>
    </row>
    <row r="4">
      <c r="A4" s="5" t="inlineStr">
        <is>
          <t>Amplified gains</t>
        </is>
      </c>
      <c r="B4" s="5" t="n">
        <v>1022</v>
      </c>
      <c r="C4" s="19" t="n">
        <v>0.2939315501869428</v>
      </c>
      <c r="D4" s="5" t="inlineStr">
        <is>
          <t>Invested (levered) while the market rose</t>
        </is>
      </c>
    </row>
    <row r="5">
      <c r="A5" s="5" t="inlineStr">
        <is>
          <t>Amplified losses</t>
        </is>
      </c>
      <c r="B5" s="5" t="n">
        <v>768</v>
      </c>
      <c r="C5" s="19" t="n">
        <v>0.2208800690250216</v>
      </c>
      <c r="D5" s="5" t="inlineStr">
        <is>
          <t>Invested (levered) while the market fell</t>
        </is>
      </c>
    </row>
    <row r="6">
      <c r="A6" s="5" t="inlineStr">
        <is>
          <t>Sum of quadrants</t>
        </is>
      </c>
      <c r="B6" s="5" t="n">
        <v>3477</v>
      </c>
      <c r="C6" s="5" t="n"/>
      <c r="D6" s="5" t="inlineStr">
        <is>
          <t>Published total trading days: 3219</t>
        </is>
      </c>
    </row>
    <row r="7">
      <c r="A7" s="5" t="inlineStr">
        <is>
          <t>Cash days</t>
        </is>
      </c>
      <c r="B7" s="5" t="n">
        <v>1687</v>
      </c>
      <c r="C7" s="19" t="n">
        <v>0.4851883807880357</v>
      </c>
      <c r="D7" s="5" t="inlineStr">
        <is>
          <t>Manager quotes ~50% of trading days in cash</t>
        </is>
      </c>
    </row>
    <row r="8">
      <c r="A8" s="5" t="inlineStr">
        <is>
          <t>Positive days / published total</t>
        </is>
      </c>
      <c r="B8" s="19" t="n">
        <v>0.3174899036968002</v>
      </c>
      <c r="C8" s="5" t="n"/>
      <c r="D8" s="5" t="inlineStr">
        <is>
          <t>Manager quotes ~31% positive days (1,022 / 3,219)</t>
        </is>
      </c>
    </row>
    <row r="9"/>
    <row r="10">
      <c r="A10" s="13" t="inlineStr">
        <is>
          <t>Source states '4 Quadrants (3219 Days)' and 'Out of 3,219 trading days ... positive returns on only 31% of the days'. The four quadrant counts as given sum to 3,477, not 3,219. Both figures are preserved here; the discrepancy is flagged in the overview.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24" customWidth="1" min="4" max="4"/>
    <col width="24" customWidth="1" min="5" max="5"/>
    <col width="22" customWidth="1" min="6" max="6"/>
    <col width="23" customWidth="1" min="7" max="7"/>
  </cols>
  <sheetData>
    <row r="1">
      <c r="A1" s="4" t="inlineStr">
        <is>
          <t>Month</t>
        </is>
      </c>
      <c r="B1" s="4" t="inlineStr">
        <is>
          <t>Growth $1,000 Strategy</t>
        </is>
      </c>
      <c r="C1" s="4" t="inlineStr">
        <is>
          <t>Growth $1,000 SPY</t>
        </is>
      </c>
      <c r="D1" s="4" t="inlineStr">
        <is>
          <t>Drawdown Strategy</t>
        </is>
      </c>
      <c r="E1" s="4" t="inlineStr">
        <is>
          <t>Drawdown SPY</t>
        </is>
      </c>
      <c r="F1" s="4" t="inlineStr">
        <is>
          <t>Rolling 12m Strategy</t>
        </is>
      </c>
      <c r="G1" s="4" t="inlineStr">
        <is>
          <t>Rolling 12m SPY</t>
        </is>
      </c>
    </row>
    <row r="2">
      <c r="A2" s="5" t="inlineStr">
        <is>
          <t>2012-07</t>
        </is>
      </c>
      <c r="B2" s="8" t="n">
        <v>998.5</v>
      </c>
      <c r="C2" s="8" t="n">
        <v>1011.3</v>
      </c>
      <c r="D2" s="6" t="n">
        <v>-0.0015</v>
      </c>
      <c r="E2" s="6" t="n">
        <v>0</v>
      </c>
      <c r="F2" s="6" t="n"/>
      <c r="G2" s="6" t="n"/>
    </row>
    <row r="3">
      <c r="A3" s="5" t="inlineStr">
        <is>
          <t>2012-08</t>
        </is>
      </c>
      <c r="B3" s="8" t="n">
        <v>1065.69905</v>
      </c>
      <c r="C3" s="8" t="n">
        <v>1033.95312</v>
      </c>
      <c r="D3" s="6" t="n">
        <v>0</v>
      </c>
      <c r="E3" s="6" t="n">
        <v>0</v>
      </c>
      <c r="F3" s="6" t="n"/>
      <c r="G3" s="6" t="n"/>
    </row>
    <row r="4">
      <c r="A4" s="5" t="inlineStr">
        <is>
          <t>2012-09</t>
        </is>
      </c>
      <c r="B4" s="8" t="n">
        <v>1102.998517</v>
      </c>
      <c r="C4" s="8" t="n">
        <v>1060.62911</v>
      </c>
      <c r="D4" s="6" t="n">
        <v>0</v>
      </c>
      <c r="E4" s="6" t="n">
        <v>0</v>
      </c>
      <c r="F4" s="6" t="n"/>
      <c r="G4" s="6" t="n"/>
    </row>
    <row r="5">
      <c r="A5" s="5" t="inlineStr">
        <is>
          <t>2012-10</t>
        </is>
      </c>
      <c r="B5" s="8" t="n">
        <v>1088.990436</v>
      </c>
      <c r="C5" s="8" t="n">
        <v>1041.007472</v>
      </c>
      <c r="D5" s="6" t="n">
        <v>-0.0127</v>
      </c>
      <c r="E5" s="6" t="n">
        <v>-0.0185</v>
      </c>
      <c r="F5" s="6" t="n"/>
      <c r="G5" s="6" t="n"/>
    </row>
    <row r="6">
      <c r="A6" s="5" t="inlineStr">
        <is>
          <t>2012-11</t>
        </is>
      </c>
      <c r="B6" s="8" t="n">
        <v>1063.834757</v>
      </c>
      <c r="C6" s="8" t="n">
        <v>1046.941215</v>
      </c>
      <c r="D6" s="6" t="n">
        <v>-0.03550663</v>
      </c>
      <c r="E6" s="6" t="n">
        <v>-0.01290545</v>
      </c>
      <c r="F6" s="6" t="n"/>
      <c r="G6" s="6" t="n"/>
    </row>
    <row r="7">
      <c r="A7" s="5" t="inlineStr">
        <is>
          <t>2012-12</t>
        </is>
      </c>
      <c r="B7" s="8" t="n">
        <v>1108.409433</v>
      </c>
      <c r="C7" s="8" t="n">
        <v>1056.363685</v>
      </c>
      <c r="D7" s="6" t="n">
        <v>0</v>
      </c>
      <c r="E7" s="6" t="n">
        <v>-0.0040216</v>
      </c>
      <c r="F7" s="6" t="n"/>
      <c r="G7" s="6" t="n"/>
    </row>
    <row r="8">
      <c r="A8" s="5" t="inlineStr">
        <is>
          <t>2013-01</t>
        </is>
      </c>
      <c r="B8" s="8" t="n">
        <v>1110.182888</v>
      </c>
      <c r="C8" s="8" t="n">
        <v>1110.977688</v>
      </c>
      <c r="D8" s="6" t="n">
        <v>0</v>
      </c>
      <c r="E8" s="6" t="n">
        <v>0</v>
      </c>
      <c r="F8" s="6" t="n"/>
      <c r="G8" s="6" t="n"/>
    </row>
    <row r="9">
      <c r="A9" s="5" t="inlineStr">
        <is>
          <t>2013-02</t>
        </is>
      </c>
      <c r="B9" s="8" t="n">
        <v>1162.028429</v>
      </c>
      <c r="C9" s="8" t="n">
        <v>1125.975887</v>
      </c>
      <c r="D9" s="6" t="n">
        <v>0</v>
      </c>
      <c r="E9" s="6" t="n">
        <v>0</v>
      </c>
      <c r="F9" s="6" t="n"/>
      <c r="G9" s="6" t="n"/>
    </row>
    <row r="10">
      <c r="A10" s="5" t="inlineStr">
        <is>
          <t>2013-03</t>
        </is>
      </c>
      <c r="B10" s="8" t="n">
        <v>1218.50301</v>
      </c>
      <c r="C10" s="8" t="n">
        <v>1168.087385</v>
      </c>
      <c r="D10" s="6" t="n">
        <v>0</v>
      </c>
      <c r="E10" s="6" t="n">
        <v>0</v>
      </c>
      <c r="F10" s="6" t="n"/>
      <c r="G10" s="6" t="n"/>
    </row>
    <row r="11">
      <c r="A11" s="5" t="inlineStr">
        <is>
          <t>2013-04</t>
        </is>
      </c>
      <c r="B11" s="8" t="n">
        <v>1251.402592</v>
      </c>
      <c r="C11" s="8" t="n">
        <v>1190.514663</v>
      </c>
      <c r="D11" s="6" t="n">
        <v>0</v>
      </c>
      <c r="E11" s="6" t="n">
        <v>0</v>
      </c>
      <c r="F11" s="6" t="n"/>
      <c r="G11" s="6" t="n"/>
    </row>
    <row r="12">
      <c r="A12" s="5" t="inlineStr">
        <is>
          <t>2013-05</t>
        </is>
      </c>
      <c r="B12" s="8" t="n">
        <v>1295.577103</v>
      </c>
      <c r="C12" s="8" t="n">
        <v>1218.253654</v>
      </c>
      <c r="D12" s="6" t="n">
        <v>0</v>
      </c>
      <c r="E12" s="6" t="n">
        <v>0</v>
      </c>
      <c r="F12" s="6" t="n"/>
      <c r="G12" s="6" t="n"/>
    </row>
    <row r="13">
      <c r="A13" s="5" t="inlineStr">
        <is>
          <t>2013-06</t>
        </is>
      </c>
      <c r="B13" s="8" t="n">
        <v>1249.843231</v>
      </c>
      <c r="C13" s="8" t="n">
        <v>1201.80723</v>
      </c>
      <c r="D13" s="6" t="n">
        <v>-0.0353</v>
      </c>
      <c r="E13" s="6" t="n">
        <v>-0.0135</v>
      </c>
      <c r="F13" s="6" t="n">
        <v>0.24984323</v>
      </c>
      <c r="G13" s="6" t="n">
        <v>0.20180723</v>
      </c>
    </row>
    <row r="14">
      <c r="A14" s="5" t="inlineStr">
        <is>
          <t>2013-07</t>
        </is>
      </c>
      <c r="B14" s="8" t="n">
        <v>1321.20928</v>
      </c>
      <c r="C14" s="8" t="n">
        <v>1262.859037</v>
      </c>
      <c r="D14" s="6" t="n">
        <v>0</v>
      </c>
      <c r="E14" s="6" t="n">
        <v>0</v>
      </c>
      <c r="F14" s="6" t="n">
        <v>0.32319407</v>
      </c>
      <c r="G14" s="6" t="n">
        <v>0.24874818</v>
      </c>
    </row>
    <row r="15">
      <c r="A15" s="5" t="inlineStr">
        <is>
          <t>2013-08</t>
        </is>
      </c>
      <c r="B15" s="8" t="n">
        <v>1309.318396</v>
      </c>
      <c r="C15" s="8" t="n">
        <v>1226.236125</v>
      </c>
      <c r="D15" s="6" t="n">
        <v>-0.009000000000000001</v>
      </c>
      <c r="E15" s="6" t="n">
        <v>-0.029</v>
      </c>
      <c r="F15" s="6" t="n">
        <v>0.22860051</v>
      </c>
      <c r="G15" s="6" t="n">
        <v>0.18596878</v>
      </c>
    </row>
    <row r="16">
      <c r="A16" s="5" t="inlineStr">
        <is>
          <t>2013-09</t>
        </is>
      </c>
      <c r="B16" s="8" t="n">
        <v>1327.648854</v>
      </c>
      <c r="C16" s="8" t="n">
        <v>1264.617316</v>
      </c>
      <c r="D16" s="6" t="n">
        <v>0</v>
      </c>
      <c r="E16" s="6" t="n">
        <v>0</v>
      </c>
      <c r="F16" s="6" t="n">
        <v>0.20367238</v>
      </c>
      <c r="G16" s="6" t="n">
        <v>0.19232756</v>
      </c>
    </row>
    <row r="17">
      <c r="A17" s="5" t="inlineStr">
        <is>
          <t>2013-10</t>
        </is>
      </c>
      <c r="B17" s="8" t="n">
        <v>1354.99842</v>
      </c>
      <c r="C17" s="8" t="n">
        <v>1322.663251</v>
      </c>
      <c r="D17" s="6" t="n">
        <v>0</v>
      </c>
      <c r="E17" s="6" t="n">
        <v>0</v>
      </c>
      <c r="F17" s="6" t="n">
        <v>0.24427027</v>
      </c>
      <c r="G17" s="6" t="n">
        <v>0.27056077</v>
      </c>
    </row>
    <row r="18">
      <c r="A18" s="5" t="inlineStr">
        <is>
          <t>2013-11</t>
        </is>
      </c>
      <c r="B18" s="8" t="n">
        <v>1421.799843</v>
      </c>
      <c r="C18" s="8" t="n">
        <v>1362.872214</v>
      </c>
      <c r="D18" s="6" t="n">
        <v>0</v>
      </c>
      <c r="E18" s="6" t="n">
        <v>0</v>
      </c>
      <c r="F18" s="6" t="n">
        <v>0.33648561</v>
      </c>
      <c r="G18" s="6" t="n">
        <v>0.30176575</v>
      </c>
    </row>
    <row r="19">
      <c r="A19" s="5" t="inlineStr">
        <is>
          <t>2013-12</t>
        </is>
      </c>
      <c r="B19" s="8" t="n">
        <v>1469.714497</v>
      </c>
      <c r="C19" s="8" t="n">
        <v>1397.216593</v>
      </c>
      <c r="D19" s="6" t="n">
        <v>0</v>
      </c>
      <c r="E19" s="6" t="n">
        <v>0</v>
      </c>
      <c r="F19" s="6" t="n">
        <v>0.32596715</v>
      </c>
      <c r="G19" s="6" t="n">
        <v>0.32266625</v>
      </c>
    </row>
    <row r="20">
      <c r="A20" s="5" t="inlineStr">
        <is>
          <t>2014-01</t>
        </is>
      </c>
      <c r="B20" s="8" t="n">
        <v>1491.907186</v>
      </c>
      <c r="C20" s="8" t="n">
        <v>1348.872899</v>
      </c>
      <c r="D20" s="6" t="n">
        <v>0</v>
      </c>
      <c r="E20" s="6" t="n">
        <v>-0.0346</v>
      </c>
      <c r="F20" s="6" t="n">
        <v>0.34383911</v>
      </c>
      <c r="G20" s="6" t="n">
        <v>0.2141314</v>
      </c>
    </row>
    <row r="21">
      <c r="A21" s="5" t="inlineStr">
        <is>
          <t>2014-02</t>
        </is>
      </c>
      <c r="B21" s="8" t="n">
        <v>1542.035268</v>
      </c>
      <c r="C21" s="8" t="n">
        <v>1410.516391</v>
      </c>
      <c r="D21" s="6" t="n">
        <v>0</v>
      </c>
      <c r="E21" s="6" t="n">
        <v>0</v>
      </c>
      <c r="F21" s="6" t="n">
        <v>0.32702026</v>
      </c>
      <c r="G21" s="6" t="n">
        <v>0.25270568</v>
      </c>
    </row>
    <row r="22">
      <c r="A22" s="5" t="inlineStr">
        <is>
          <t>2014-03</t>
        </is>
      </c>
      <c r="B22" s="8" t="n">
        <v>1584.903848</v>
      </c>
      <c r="C22" s="8" t="n">
        <v>1422.223677</v>
      </c>
      <c r="D22" s="6" t="n">
        <v>0</v>
      </c>
      <c r="E22" s="6" t="n">
        <v>0</v>
      </c>
      <c r="F22" s="6" t="n">
        <v>0.30069752</v>
      </c>
      <c r="G22" s="6" t="n">
        <v>0.21756616</v>
      </c>
    </row>
    <row r="23">
      <c r="A23" s="5" t="inlineStr">
        <is>
          <t>2014-04</t>
        </is>
      </c>
      <c r="B23" s="8" t="n">
        <v>1601.545338</v>
      </c>
      <c r="C23" s="8" t="n">
        <v>1432.60591</v>
      </c>
      <c r="D23" s="6" t="n">
        <v>0</v>
      </c>
      <c r="E23" s="6" t="n">
        <v>0</v>
      </c>
      <c r="F23" s="6" t="n">
        <v>0.27980024</v>
      </c>
      <c r="G23" s="6" t="n">
        <v>0.20335008</v>
      </c>
    </row>
    <row r="24">
      <c r="A24" s="5" t="inlineStr">
        <is>
          <t>2014-05</t>
        </is>
      </c>
      <c r="B24" s="8" t="n">
        <v>1657.919734</v>
      </c>
      <c r="C24" s="8" t="n">
        <v>1466.128888</v>
      </c>
      <c r="D24" s="6" t="n">
        <v>0</v>
      </c>
      <c r="E24" s="6" t="n">
        <v>0</v>
      </c>
      <c r="F24" s="6" t="n">
        <v>0.27967662</v>
      </c>
      <c r="G24" s="6" t="n">
        <v>0.20346767</v>
      </c>
    </row>
    <row r="25">
      <c r="A25" s="5" t="inlineStr">
        <is>
          <t>2014-06</t>
        </is>
      </c>
      <c r="B25" s="8" t="n">
        <v>1671.348884</v>
      </c>
      <c r="C25" s="8" t="n">
        <v>1496.331143</v>
      </c>
      <c r="D25" s="6" t="n">
        <v>0</v>
      </c>
      <c r="E25" s="6" t="n">
        <v>0</v>
      </c>
      <c r="F25" s="6" t="n">
        <v>0.33724682</v>
      </c>
      <c r="G25" s="6" t="n">
        <v>0.24506752</v>
      </c>
    </row>
    <row r="26">
      <c r="A26" s="5" t="inlineStr">
        <is>
          <t>2014-07</t>
        </is>
      </c>
      <c r="B26" s="8" t="n">
        <v>1670.011805</v>
      </c>
      <c r="C26" s="8" t="n">
        <v>1475.53214</v>
      </c>
      <c r="D26" s="6" t="n">
        <v>-0.0008</v>
      </c>
      <c r="E26" s="6" t="n">
        <v>-0.0139</v>
      </c>
      <c r="F26" s="6" t="n">
        <v>0.26400248</v>
      </c>
      <c r="G26" s="6" t="n">
        <v>0.16840605</v>
      </c>
    </row>
    <row r="27">
      <c r="A27" s="5" t="inlineStr">
        <is>
          <t>2014-08</t>
        </is>
      </c>
      <c r="B27" s="8" t="n">
        <v>1733.472254</v>
      </c>
      <c r="C27" s="8" t="n">
        <v>1534.405873</v>
      </c>
      <c r="D27" s="6" t="n">
        <v>0</v>
      </c>
      <c r="E27" s="6" t="n">
        <v>0</v>
      </c>
      <c r="F27" s="6" t="n">
        <v>0.32395012</v>
      </c>
      <c r="G27" s="6" t="n">
        <v>0.25131354</v>
      </c>
    </row>
    <row r="28">
      <c r="A28" s="5" t="inlineStr">
        <is>
          <t>2014-09</t>
        </is>
      </c>
      <c r="B28" s="8" t="n">
        <v>1785.129727</v>
      </c>
      <c r="C28" s="8" t="n">
        <v>1512.77075</v>
      </c>
      <c r="D28" s="6" t="n">
        <v>0</v>
      </c>
      <c r="E28" s="6" t="n">
        <v>-0.0141</v>
      </c>
      <c r="F28" s="6" t="n">
        <v>0.34457972</v>
      </c>
      <c r="G28" s="6" t="n">
        <v>0.19622808</v>
      </c>
    </row>
    <row r="29">
      <c r="A29" s="5" t="inlineStr">
        <is>
          <t>2014-10</t>
        </is>
      </c>
      <c r="B29" s="8" t="n">
        <v>1750.49821</v>
      </c>
      <c r="C29" s="8" t="n">
        <v>1549.531079</v>
      </c>
      <c r="D29" s="6" t="n">
        <v>-0.0194</v>
      </c>
      <c r="E29" s="6" t="n">
        <v>0</v>
      </c>
      <c r="F29" s="6" t="n">
        <v>0.2918821</v>
      </c>
      <c r="G29" s="6" t="n">
        <v>0.1715235</v>
      </c>
    </row>
    <row r="30">
      <c r="A30" s="5" t="inlineStr">
        <is>
          <t>2014-11</t>
        </is>
      </c>
      <c r="B30" s="8" t="n">
        <v>1769.228541</v>
      </c>
      <c r="C30" s="8" t="n">
        <v>1591.058512</v>
      </c>
      <c r="D30" s="6" t="n">
        <v>-0.00890758</v>
      </c>
      <c r="E30" s="6" t="n">
        <v>0</v>
      </c>
      <c r="F30" s="6" t="n">
        <v>0.24435837</v>
      </c>
      <c r="G30" s="6" t="n">
        <v>0.16743044</v>
      </c>
    </row>
    <row r="31">
      <c r="A31" s="5" t="inlineStr">
        <is>
          <t>2014-12</t>
        </is>
      </c>
      <c r="B31" s="8" t="n">
        <v>1659.713294</v>
      </c>
      <c r="C31" s="8" t="n">
        <v>1586.92176</v>
      </c>
      <c r="D31" s="6" t="n">
        <v>-0.0702562</v>
      </c>
      <c r="E31" s="6" t="n">
        <v>-0.0026</v>
      </c>
      <c r="F31" s="6" t="n">
        <v>0.12927599</v>
      </c>
      <c r="G31" s="6" t="n">
        <v>0.13577363</v>
      </c>
    </row>
    <row r="32">
      <c r="A32" s="5" t="inlineStr">
        <is>
          <t>2015-01</t>
        </is>
      </c>
      <c r="B32" s="8" t="n">
        <v>1675.646542</v>
      </c>
      <c r="C32" s="8" t="n">
        <v>1539.155415</v>
      </c>
      <c r="D32" s="6" t="n">
        <v>-0.06133066</v>
      </c>
      <c r="E32" s="6" t="n">
        <v>-0.03262174</v>
      </c>
      <c r="F32" s="6" t="n">
        <v>0.12315736</v>
      </c>
      <c r="G32" s="6" t="n">
        <v>0.14106779</v>
      </c>
    </row>
    <row r="33">
      <c r="A33" s="5" t="inlineStr">
        <is>
          <t>2015-02</t>
        </is>
      </c>
      <c r="B33" s="8" t="n">
        <v>1755.742447</v>
      </c>
      <c r="C33" s="8" t="n">
        <v>1627.502936</v>
      </c>
      <c r="D33" s="6" t="n">
        <v>-0.01646227</v>
      </c>
      <c r="E33" s="6" t="n">
        <v>0</v>
      </c>
      <c r="F33" s="6" t="n">
        <v>0.13858774</v>
      </c>
      <c r="G33" s="6" t="n">
        <v>0.15383483</v>
      </c>
    </row>
    <row r="34">
      <c r="A34" s="5" t="inlineStr">
        <is>
          <t>2015-03</t>
        </is>
      </c>
      <c r="B34" s="8" t="n">
        <v>1749.421774</v>
      </c>
      <c r="C34" s="8" t="n">
        <v>1601.625639</v>
      </c>
      <c r="D34" s="6" t="n">
        <v>-0.020003</v>
      </c>
      <c r="E34" s="6" t="n">
        <v>-0.0159</v>
      </c>
      <c r="F34" s="6" t="n">
        <v>0.1038031</v>
      </c>
      <c r="G34" s="6" t="n">
        <v>0.12614188</v>
      </c>
    </row>
    <row r="35">
      <c r="A35" s="5" t="inlineStr">
        <is>
          <t>2015-04</t>
        </is>
      </c>
      <c r="B35" s="8" t="n">
        <v>1737.700648</v>
      </c>
      <c r="C35" s="8" t="n">
        <v>1616.841082</v>
      </c>
      <c r="D35" s="6" t="n">
        <v>-0.02656898</v>
      </c>
      <c r="E35" s="6" t="n">
        <v>-0.00655105</v>
      </c>
      <c r="F35" s="6" t="n">
        <v>0.08501496</v>
      </c>
      <c r="G35" s="6" t="n">
        <v>0.12860143</v>
      </c>
    </row>
    <row r="36">
      <c r="A36" s="5" t="inlineStr">
        <is>
          <t>2015-05</t>
        </is>
      </c>
      <c r="B36" s="8" t="n">
        <v>1758.726826</v>
      </c>
      <c r="C36" s="8" t="n">
        <v>1637.536648</v>
      </c>
      <c r="D36" s="6" t="n">
        <v>-0.01479047</v>
      </c>
      <c r="E36" s="6" t="n">
        <v>0</v>
      </c>
      <c r="F36" s="6" t="n">
        <v>0.06080336</v>
      </c>
      <c r="G36" s="6" t="n">
        <v>0.1169118</v>
      </c>
    </row>
    <row r="37">
      <c r="A37" s="5" t="inlineStr">
        <is>
          <t>2015-06</t>
        </is>
      </c>
      <c r="B37" s="8" t="n">
        <v>1571.422419</v>
      </c>
      <c r="C37" s="8" t="n">
        <v>1605.768437</v>
      </c>
      <c r="D37" s="6" t="n">
        <v>-0.11971528</v>
      </c>
      <c r="E37" s="6" t="n">
        <v>-0.0194</v>
      </c>
      <c r="F37" s="6" t="n">
        <v>-0.05978792</v>
      </c>
      <c r="G37" s="6" t="n">
        <v>0.07313708000000001</v>
      </c>
    </row>
    <row r="38">
      <c r="A38" s="5" t="inlineStr">
        <is>
          <t>2015-07</t>
        </is>
      </c>
      <c r="B38" s="8" t="n">
        <v>1645.12213</v>
      </c>
      <c r="C38" s="8" t="n">
        <v>1639.328998</v>
      </c>
      <c r="D38" s="6" t="n">
        <v>-0.07842992999999999</v>
      </c>
      <c r="E38" s="6" t="n">
        <v>0</v>
      </c>
      <c r="F38" s="6" t="n">
        <v>-0.01490389</v>
      </c>
      <c r="G38" s="6" t="n">
        <v>0.11100867</v>
      </c>
    </row>
    <row r="39">
      <c r="A39" s="5" t="inlineStr">
        <is>
          <t>2015-08</t>
        </is>
      </c>
      <c r="B39" s="8" t="n">
        <v>1566.32078</v>
      </c>
      <c r="C39" s="8" t="n">
        <v>1540.313526</v>
      </c>
      <c r="D39" s="6" t="n">
        <v>-0.12257313</v>
      </c>
      <c r="E39" s="6" t="n">
        <v>-0.0604</v>
      </c>
      <c r="F39" s="6" t="n">
        <v>-0.09642581</v>
      </c>
      <c r="G39" s="6" t="n">
        <v>0.00385012</v>
      </c>
    </row>
    <row r="40">
      <c r="A40" s="5" t="inlineStr">
        <is>
          <t>2015-09</t>
        </is>
      </c>
      <c r="B40" s="8" t="n">
        <v>1575.875337</v>
      </c>
      <c r="C40" s="8" t="n">
        <v>1502.113751</v>
      </c>
      <c r="D40" s="6" t="n">
        <v>-0.11722083</v>
      </c>
      <c r="E40" s="6" t="n">
        <v>-0.08370208</v>
      </c>
      <c r="F40" s="6" t="n">
        <v>-0.11722083</v>
      </c>
      <c r="G40" s="6" t="n">
        <v>-0.00704469</v>
      </c>
    </row>
    <row r="41">
      <c r="A41" s="5" t="inlineStr">
        <is>
          <t>2015-10</t>
        </is>
      </c>
      <c r="B41" s="8" t="n">
        <v>1717.54653</v>
      </c>
      <c r="C41" s="8" t="n">
        <v>1628.74194</v>
      </c>
      <c r="D41" s="6" t="n">
        <v>-0.03785898</v>
      </c>
      <c r="E41" s="6" t="n">
        <v>-0.00645817</v>
      </c>
      <c r="F41" s="6" t="n">
        <v>-0.01882417</v>
      </c>
      <c r="G41" s="6" t="n">
        <v>0.05111925</v>
      </c>
    </row>
    <row r="42">
      <c r="A42" s="5" t="inlineStr">
        <is>
          <t>2015-11</t>
        </is>
      </c>
      <c r="B42" s="8" t="n">
        <v>1750.008159</v>
      </c>
      <c r="C42" s="8" t="n">
        <v>1633.465292</v>
      </c>
      <c r="D42" s="6" t="n">
        <v>-0.01967452</v>
      </c>
      <c r="E42" s="6" t="n">
        <v>-0.00357689</v>
      </c>
      <c r="F42" s="6" t="n">
        <v>-0.01086371</v>
      </c>
      <c r="G42" s="6" t="n">
        <v>0.02665319</v>
      </c>
    </row>
    <row r="43">
      <c r="A43" s="5" t="inlineStr">
        <is>
          <t>2015-12</t>
        </is>
      </c>
      <c r="B43" s="8" t="n">
        <v>1824.908508</v>
      </c>
      <c r="C43" s="8" t="n">
        <v>1607.493193</v>
      </c>
      <c r="D43" s="6" t="n">
        <v>0</v>
      </c>
      <c r="E43" s="6" t="n">
        <v>-0.01942002</v>
      </c>
      <c r="F43" s="6" t="n">
        <v>0.09953238</v>
      </c>
      <c r="G43" s="6" t="n">
        <v>0.01296311</v>
      </c>
    </row>
    <row r="44">
      <c r="A44" s="5" t="inlineStr">
        <is>
          <t>2016-01</t>
        </is>
      </c>
      <c r="B44" s="8" t="n">
        <v>1824.908508</v>
      </c>
      <c r="C44" s="8" t="n">
        <v>1527.600782</v>
      </c>
      <c r="D44" s="6" t="n">
        <v>0</v>
      </c>
      <c r="E44" s="6" t="n">
        <v>-0.06815485</v>
      </c>
      <c r="F44" s="6" t="n">
        <v>0.08907724</v>
      </c>
      <c r="G44" s="6" t="n">
        <v>-0.00750713</v>
      </c>
    </row>
    <row r="45">
      <c r="A45" s="5" t="inlineStr">
        <is>
          <t>2016-02</t>
        </is>
      </c>
      <c r="B45" s="8" t="n">
        <v>1782.023158</v>
      </c>
      <c r="C45" s="8" t="n">
        <v>1525.462141</v>
      </c>
      <c r="D45" s="6" t="n">
        <v>-0.0235</v>
      </c>
      <c r="E45" s="6" t="n">
        <v>-0.06945943</v>
      </c>
      <c r="F45" s="6" t="n">
        <v>0.01496843</v>
      </c>
      <c r="G45" s="6" t="n">
        <v>-0.06269776000000001</v>
      </c>
    </row>
    <row r="46">
      <c r="A46" s="5" t="inlineStr">
        <is>
          <t>2016-03</t>
        </is>
      </c>
      <c r="B46" s="8" t="n">
        <v>1927.970855</v>
      </c>
      <c r="C46" s="8" t="n">
        <v>1628.888474</v>
      </c>
      <c r="D46" s="6" t="n">
        <v>0</v>
      </c>
      <c r="E46" s="6" t="n">
        <v>-0.006368780000000001</v>
      </c>
      <c r="F46" s="6" t="n">
        <v>0.10206177</v>
      </c>
      <c r="G46" s="6" t="n">
        <v>0.01702198</v>
      </c>
    </row>
    <row r="47">
      <c r="A47" s="5" t="inlineStr">
        <is>
          <t>2016-04</t>
        </is>
      </c>
      <c r="B47" s="8" t="n">
        <v>1946.093781</v>
      </c>
      <c r="C47" s="8" t="n">
        <v>1635.07825</v>
      </c>
      <c r="D47" s="6" t="n">
        <v>0</v>
      </c>
      <c r="E47" s="6" t="n">
        <v>-0.00259298</v>
      </c>
      <c r="F47" s="6" t="n">
        <v>0.11992464</v>
      </c>
      <c r="G47" s="6" t="n">
        <v>0.01127951</v>
      </c>
    </row>
    <row r="48">
      <c r="A48" s="5" t="inlineStr">
        <is>
          <t>2016-05</t>
        </is>
      </c>
      <c r="B48" s="8" t="n">
        <v>1983.069563</v>
      </c>
      <c r="C48" s="8" t="n">
        <v>1664.346151</v>
      </c>
      <c r="D48" s="6" t="n">
        <v>0</v>
      </c>
      <c r="E48" s="6" t="n">
        <v>0</v>
      </c>
      <c r="F48" s="6" t="n">
        <v>0.12755974</v>
      </c>
      <c r="G48" s="6" t="n">
        <v>0.01637185</v>
      </c>
    </row>
    <row r="49">
      <c r="A49" s="5" t="inlineStr">
        <is>
          <t>2016-06</t>
        </is>
      </c>
      <c r="B49" s="8" t="n">
        <v>2060.80589</v>
      </c>
      <c r="C49" s="8" t="n">
        <v>1668.507016</v>
      </c>
      <c r="D49" s="6" t="n">
        <v>0</v>
      </c>
      <c r="E49" s="6" t="n">
        <v>0</v>
      </c>
      <c r="F49" s="6" t="n">
        <v>0.31142706</v>
      </c>
      <c r="G49" s="6" t="n">
        <v>0.03907075</v>
      </c>
    </row>
    <row r="50">
      <c r="A50" s="5" t="inlineStr">
        <is>
          <t>2016-07</t>
        </is>
      </c>
      <c r="B50" s="8" t="n">
        <v>2143.856367</v>
      </c>
      <c r="C50" s="8" t="n">
        <v>1729.908074</v>
      </c>
      <c r="D50" s="6" t="n">
        <v>0</v>
      </c>
      <c r="E50" s="6" t="n">
        <v>0</v>
      </c>
      <c r="F50" s="6" t="n">
        <v>0.3031594</v>
      </c>
      <c r="G50" s="6" t="n">
        <v>0.05525375</v>
      </c>
    </row>
    <row r="51">
      <c r="A51" s="5" t="inlineStr">
        <is>
          <t>2016-08</t>
        </is>
      </c>
      <c r="B51" s="8" t="n">
        <v>2143.641982</v>
      </c>
      <c r="C51" s="8" t="n">
        <v>1732.156955</v>
      </c>
      <c r="D51" s="6" t="n">
        <v>-0.0001</v>
      </c>
      <c r="E51" s="6" t="n">
        <v>0</v>
      </c>
      <c r="F51" s="6" t="n">
        <v>0.36858427</v>
      </c>
      <c r="G51" s="6" t="n">
        <v>0.1245483</v>
      </c>
    </row>
    <row r="52">
      <c r="A52" s="5" t="inlineStr">
        <is>
          <t>2016-09</t>
        </is>
      </c>
      <c r="B52" s="8" t="n">
        <v>2200.877222</v>
      </c>
      <c r="C52" s="8" t="n">
        <v>1732.33017</v>
      </c>
      <c r="D52" s="6" t="n">
        <v>0</v>
      </c>
      <c r="E52" s="6" t="n">
        <v>0</v>
      </c>
      <c r="F52" s="6" t="n">
        <v>0.39660617</v>
      </c>
      <c r="G52" s="6" t="n">
        <v>0.15326164</v>
      </c>
    </row>
    <row r="53">
      <c r="A53" s="5" t="inlineStr">
        <is>
          <t>2016-10</t>
        </is>
      </c>
      <c r="B53" s="8" t="n">
        <v>2213.862398</v>
      </c>
      <c r="C53" s="8" t="n">
        <v>1700.628528</v>
      </c>
      <c r="D53" s="6" t="n">
        <v>0</v>
      </c>
      <c r="E53" s="6" t="n">
        <v>-0.0183</v>
      </c>
      <c r="F53" s="6" t="n">
        <v>0.28896793</v>
      </c>
      <c r="G53" s="6" t="n">
        <v>0.04413627</v>
      </c>
    </row>
    <row r="54">
      <c r="A54" s="5" t="inlineStr">
        <is>
          <t>2016-11</t>
        </is>
      </c>
      <c r="B54" s="8" t="n">
        <v>2274.965</v>
      </c>
      <c r="C54" s="8" t="n">
        <v>1763.551784</v>
      </c>
      <c r="D54" s="6" t="n">
        <v>0</v>
      </c>
      <c r="E54" s="6" t="n">
        <v>0</v>
      </c>
      <c r="F54" s="6" t="n">
        <v>0.29997394</v>
      </c>
      <c r="G54" s="6" t="n">
        <v>0.07963835999999999</v>
      </c>
    </row>
    <row r="55">
      <c r="A55" s="5" t="inlineStr">
        <is>
          <t>2016-12</t>
        </is>
      </c>
      <c r="B55" s="8" t="n">
        <v>2225.370763</v>
      </c>
      <c r="C55" s="8" t="n">
        <v>1798.293754</v>
      </c>
      <c r="D55" s="6" t="n">
        <v>-0.0218</v>
      </c>
      <c r="E55" s="6" t="n">
        <v>0</v>
      </c>
      <c r="F55" s="6" t="n">
        <v>0.21944237</v>
      </c>
      <c r="G55" s="6" t="n">
        <v>0.11869447</v>
      </c>
    </row>
    <row r="56">
      <c r="A56" s="5" t="inlineStr">
        <is>
          <t>2017-01</t>
        </is>
      </c>
      <c r="B56" s="8" t="n">
        <v>2297.472776</v>
      </c>
      <c r="C56" s="8" t="n">
        <v>1832.281506</v>
      </c>
      <c r="D56" s="6" t="n">
        <v>0</v>
      </c>
      <c r="E56" s="6" t="n">
        <v>0</v>
      </c>
      <c r="F56" s="6" t="n">
        <v>0.25895231</v>
      </c>
      <c r="G56" s="6" t="n">
        <v>0.19945049</v>
      </c>
    </row>
    <row r="57">
      <c r="A57" s="5" t="inlineStr">
        <is>
          <t>2017-02</t>
        </is>
      </c>
      <c r="B57" s="8" t="n">
        <v>2314.703822</v>
      </c>
      <c r="C57" s="8" t="n">
        <v>1904.839854</v>
      </c>
      <c r="D57" s="6" t="n">
        <v>0</v>
      </c>
      <c r="E57" s="6" t="n">
        <v>0</v>
      </c>
      <c r="F57" s="6" t="n">
        <v>0.29891905</v>
      </c>
      <c r="G57" s="6" t="n">
        <v>0.2486969</v>
      </c>
    </row>
    <row r="58">
      <c r="A58" s="5" t="inlineStr">
        <is>
          <t>2017-03</t>
        </is>
      </c>
      <c r="B58" s="8" t="n">
        <v>2326.740282</v>
      </c>
      <c r="C58" s="8" t="n">
        <v>1906.935177</v>
      </c>
      <c r="D58" s="6" t="n">
        <v>0</v>
      </c>
      <c r="E58" s="6" t="n">
        <v>0</v>
      </c>
      <c r="F58" s="6" t="n">
        <v>0.20683374</v>
      </c>
      <c r="G58" s="6" t="n">
        <v>0.1706972</v>
      </c>
    </row>
    <row r="59">
      <c r="A59" s="5" t="inlineStr">
        <is>
          <t>2017-04</t>
        </is>
      </c>
      <c r="B59" s="8" t="n">
        <v>2385.374137</v>
      </c>
      <c r="C59" s="8" t="n">
        <v>1926.385916</v>
      </c>
      <c r="D59" s="6" t="n">
        <v>0</v>
      </c>
      <c r="E59" s="6" t="n">
        <v>0</v>
      </c>
      <c r="F59" s="6" t="n">
        <v>0.22572415</v>
      </c>
      <c r="G59" s="6" t="n">
        <v>0.1781613</v>
      </c>
    </row>
    <row r="60">
      <c r="A60" s="5" t="inlineStr">
        <is>
          <t>2017-05</t>
        </is>
      </c>
      <c r="B60" s="8" t="n">
        <v>2441.907504</v>
      </c>
      <c r="C60" s="8" t="n">
        <v>1953.355319</v>
      </c>
      <c r="D60" s="6" t="n">
        <v>0</v>
      </c>
      <c r="E60" s="6" t="n">
        <v>0</v>
      </c>
      <c r="F60" s="6" t="n">
        <v>0.23137763</v>
      </c>
      <c r="G60" s="6" t="n">
        <v>0.17364727</v>
      </c>
    </row>
    <row r="61">
      <c r="A61" s="5" t="inlineStr">
        <is>
          <t>2017-06</t>
        </is>
      </c>
      <c r="B61" s="8" t="n">
        <v>2389.162302</v>
      </c>
      <c r="C61" s="8" t="n">
        <v>1965.466122</v>
      </c>
      <c r="D61" s="6" t="n">
        <v>-0.0216</v>
      </c>
      <c r="E61" s="6" t="n">
        <v>0</v>
      </c>
      <c r="F61" s="6" t="n">
        <v>0.15933398</v>
      </c>
      <c r="G61" s="6" t="n">
        <v>0.17797894</v>
      </c>
    </row>
    <row r="62">
      <c r="A62" s="5" t="inlineStr">
        <is>
          <t>2017-07</t>
        </is>
      </c>
      <c r="B62" s="8" t="n">
        <v>2490.940616</v>
      </c>
      <c r="C62" s="8" t="n">
        <v>2005.758178</v>
      </c>
      <c r="D62" s="6" t="n">
        <v>0</v>
      </c>
      <c r="E62" s="6" t="n">
        <v>0</v>
      </c>
      <c r="F62" s="6" t="n">
        <v>0.16189716</v>
      </c>
      <c r="G62" s="6" t="n">
        <v>0.1594594</v>
      </c>
    </row>
    <row r="63">
      <c r="A63" s="5" t="inlineStr">
        <is>
          <t>2017-08</t>
        </is>
      </c>
      <c r="B63" s="8" t="n">
        <v>2496.420685</v>
      </c>
      <c r="C63" s="8" t="n">
        <v>2011.775452</v>
      </c>
      <c r="D63" s="6" t="n">
        <v>0</v>
      </c>
      <c r="E63" s="6" t="n">
        <v>0</v>
      </c>
      <c r="F63" s="6" t="n">
        <v>0.16456979</v>
      </c>
      <c r="G63" s="6" t="n">
        <v>0.16142792</v>
      </c>
    </row>
    <row r="64">
      <c r="A64" s="5" t="inlineStr">
        <is>
          <t>2017-09</t>
        </is>
      </c>
      <c r="B64" s="8" t="n">
        <v>2610.50711</v>
      </c>
      <c r="C64" s="8" t="n">
        <v>2053.218026</v>
      </c>
      <c r="D64" s="6" t="n">
        <v>0</v>
      </c>
      <c r="E64" s="6" t="n">
        <v>0</v>
      </c>
      <c r="F64" s="6" t="n">
        <v>0.18612119</v>
      </c>
      <c r="G64" s="6" t="n">
        <v>0.18523481</v>
      </c>
    </row>
    <row r="65">
      <c r="A65" s="5" t="inlineStr">
        <is>
          <t>2017-10</t>
        </is>
      </c>
      <c r="B65" s="8" t="n">
        <v>2757.478661</v>
      </c>
      <c r="C65" s="8" t="n">
        <v>2101.058006</v>
      </c>
      <c r="D65" s="6" t="n">
        <v>0</v>
      </c>
      <c r="E65" s="6" t="n">
        <v>0</v>
      </c>
      <c r="F65" s="6" t="n">
        <v>0.24555106</v>
      </c>
      <c r="G65" s="6" t="n">
        <v>0.2354597</v>
      </c>
    </row>
    <row r="66">
      <c r="A66" s="5" t="inlineStr">
        <is>
          <t>2017-11</t>
        </is>
      </c>
      <c r="B66" s="8" t="n">
        <v>2943.332723</v>
      </c>
      <c r="C66" s="8" t="n">
        <v>2165.350381</v>
      </c>
      <c r="D66" s="6" t="n">
        <v>0</v>
      </c>
      <c r="E66" s="6" t="n">
        <v>0</v>
      </c>
      <c r="F66" s="6" t="n">
        <v>0.29379253</v>
      </c>
      <c r="G66" s="6" t="n">
        <v>0.22783487</v>
      </c>
    </row>
    <row r="67">
      <c r="A67" s="5" t="inlineStr">
        <is>
          <t>2017-12</t>
        </is>
      </c>
      <c r="B67" s="8" t="n">
        <v>2965.702051</v>
      </c>
      <c r="C67" s="8" t="n">
        <v>2189.169236</v>
      </c>
      <c r="D67" s="6" t="n">
        <v>0</v>
      </c>
      <c r="E67" s="6" t="n">
        <v>0</v>
      </c>
      <c r="F67" s="6" t="n">
        <v>0.33267773</v>
      </c>
      <c r="G67" s="6" t="n">
        <v>0.21735908</v>
      </c>
    </row>
    <row r="68">
      <c r="A68" s="5" t="inlineStr">
        <is>
          <t>2018-01</t>
        </is>
      </c>
      <c r="B68" s="8" t="n">
        <v>3121.697979</v>
      </c>
      <c r="C68" s="8" t="n">
        <v>2314.389716</v>
      </c>
      <c r="D68" s="6" t="n">
        <v>0</v>
      </c>
      <c r="E68" s="6" t="n">
        <v>0</v>
      </c>
      <c r="F68" s="6" t="n">
        <v>0.35875298</v>
      </c>
      <c r="G68" s="6" t="n">
        <v>0.26311907</v>
      </c>
    </row>
    <row r="69">
      <c r="A69" s="5" t="inlineStr">
        <is>
          <t>2018-02</t>
        </is>
      </c>
      <c r="B69" s="8" t="n">
        <v>3197.24307</v>
      </c>
      <c r="C69" s="8" t="n">
        <v>2228.988735</v>
      </c>
      <c r="D69" s="6" t="n">
        <v>0</v>
      </c>
      <c r="E69" s="6" t="n">
        <v>-0.0369</v>
      </c>
      <c r="F69" s="6" t="n">
        <v>0.38127524</v>
      </c>
      <c r="G69" s="6" t="n">
        <v>0.1701712</v>
      </c>
    </row>
    <row r="70">
      <c r="A70" s="5" t="inlineStr">
        <is>
          <t>2018-03</t>
        </is>
      </c>
      <c r="B70" s="8" t="n">
        <v>3175.501817</v>
      </c>
      <c r="C70" s="8" t="n">
        <v>2172.149523</v>
      </c>
      <c r="D70" s="6" t="n">
        <v>-0.0068</v>
      </c>
      <c r="E70" s="6" t="n">
        <v>-0.06145905</v>
      </c>
      <c r="F70" s="6" t="n">
        <v>0.36478568</v>
      </c>
      <c r="G70" s="6" t="n">
        <v>0.13907885</v>
      </c>
    </row>
    <row r="71">
      <c r="A71" s="5" t="inlineStr">
        <is>
          <t>2018-04</t>
        </is>
      </c>
      <c r="B71" s="8" t="n">
        <v>3356.187871</v>
      </c>
      <c r="C71" s="8" t="n">
        <v>2180.403691</v>
      </c>
      <c r="D71" s="6" t="n">
        <v>0</v>
      </c>
      <c r="E71" s="6" t="n">
        <v>-0.05789259</v>
      </c>
      <c r="F71" s="6" t="n">
        <v>0.40698594</v>
      </c>
      <c r="G71" s="6" t="n">
        <v>0.13186235</v>
      </c>
    </row>
    <row r="72">
      <c r="A72" s="5" t="inlineStr">
        <is>
          <t>2018-05</t>
        </is>
      </c>
      <c r="B72" s="8" t="n">
        <v>3498.490236</v>
      </c>
      <c r="C72" s="8" t="n">
        <v>2232.733379</v>
      </c>
      <c r="D72" s="6" t="n">
        <v>0</v>
      </c>
      <c r="E72" s="6" t="n">
        <v>-0.03528202</v>
      </c>
      <c r="F72" s="6" t="n">
        <v>0.43268745</v>
      </c>
      <c r="G72" s="6" t="n">
        <v>0.1430247</v>
      </c>
    </row>
    <row r="73">
      <c r="A73" s="5" t="inlineStr">
        <is>
          <t>2018-06</t>
        </is>
      </c>
      <c r="B73" s="8" t="n">
        <v>3470.852164</v>
      </c>
      <c r="C73" s="8" t="n">
        <v>2246.353053</v>
      </c>
      <c r="D73" s="6" t="n">
        <v>-0.007900000000000001</v>
      </c>
      <c r="E73" s="6" t="n">
        <v>-0.02939724</v>
      </c>
      <c r="F73" s="6" t="n">
        <v>0.45274859</v>
      </c>
      <c r="G73" s="6" t="n">
        <v>0.1429111</v>
      </c>
    </row>
    <row r="74">
      <c r="A74" s="5" t="inlineStr">
        <is>
          <t>2018-07</t>
        </is>
      </c>
      <c r="B74" s="8" t="n">
        <v>3512.155304</v>
      </c>
      <c r="C74" s="8" t="n">
        <v>2329.692751</v>
      </c>
      <c r="D74" s="6" t="n">
        <v>0</v>
      </c>
      <c r="E74" s="6" t="n">
        <v>0</v>
      </c>
      <c r="F74" s="6" t="n">
        <v>0.40997151</v>
      </c>
      <c r="G74" s="6" t="n">
        <v>0.16150231</v>
      </c>
    </row>
    <row r="75">
      <c r="A75" s="5" t="inlineStr">
        <is>
          <t>2018-08</t>
        </is>
      </c>
      <c r="B75" s="8" t="n">
        <v>3620.329688</v>
      </c>
      <c r="C75" s="8" t="n">
        <v>2405.407766</v>
      </c>
      <c r="D75" s="6" t="n">
        <v>0</v>
      </c>
      <c r="E75" s="6" t="n">
        <v>0</v>
      </c>
      <c r="F75" s="6" t="n">
        <v>0.45020818</v>
      </c>
      <c r="G75" s="6" t="n">
        <v>0.19566414</v>
      </c>
    </row>
    <row r="76">
      <c r="A76" s="5" t="inlineStr">
        <is>
          <t>2018-09</t>
        </is>
      </c>
      <c r="B76" s="8" t="n">
        <v>3671.014303</v>
      </c>
      <c r="C76" s="8" t="n">
        <v>2418.878049</v>
      </c>
      <c r="D76" s="6" t="n">
        <v>0</v>
      </c>
      <c r="E76" s="6" t="n">
        <v>0</v>
      </c>
      <c r="F76" s="6" t="n">
        <v>0.40624566</v>
      </c>
      <c r="G76" s="6" t="n">
        <v>0.17809118</v>
      </c>
    </row>
    <row r="77">
      <c r="A77" s="5" t="inlineStr">
        <is>
          <t>2018-10</t>
        </is>
      </c>
      <c r="B77" s="8" t="n">
        <v>3643.114595</v>
      </c>
      <c r="C77" s="8" t="n">
        <v>2253.426791</v>
      </c>
      <c r="D77" s="6" t="n">
        <v>-0.0076</v>
      </c>
      <c r="E77" s="6" t="n">
        <v>-0.0684</v>
      </c>
      <c r="F77" s="6" t="n">
        <v>0.32117599</v>
      </c>
      <c r="G77" s="6" t="n">
        <v>0.07252003</v>
      </c>
    </row>
    <row r="78">
      <c r="A78" s="5" t="inlineStr">
        <is>
          <t>2018-11</t>
        </is>
      </c>
      <c r="B78" s="8" t="n">
        <v>3718.891378</v>
      </c>
      <c r="C78" s="8" t="n">
        <v>2299.171354</v>
      </c>
      <c r="D78" s="6" t="n">
        <v>0</v>
      </c>
      <c r="E78" s="6" t="n">
        <v>-0.04948851999999999</v>
      </c>
      <c r="F78" s="6" t="n">
        <v>0.26349677</v>
      </c>
      <c r="G78" s="6" t="n">
        <v>0.06180106999999999</v>
      </c>
    </row>
    <row r="79">
      <c r="A79" s="5" t="inlineStr">
        <is>
          <t>2018-12</t>
        </is>
      </c>
      <c r="B79" s="8" t="n">
        <v>3658.273449</v>
      </c>
      <c r="C79" s="8" t="n">
        <v>2091.326264</v>
      </c>
      <c r="D79" s="6" t="n">
        <v>-0.0163</v>
      </c>
      <c r="E79" s="6" t="n">
        <v>-0.13541476</v>
      </c>
      <c r="F79" s="6" t="n">
        <v>0.23352696</v>
      </c>
      <c r="G79" s="6" t="n">
        <v>-0.04469411</v>
      </c>
    </row>
    <row r="80">
      <c r="A80" s="5" t="inlineStr">
        <is>
          <t>2019-01</t>
        </is>
      </c>
      <c r="B80" s="8" t="n">
        <v>3938.131368</v>
      </c>
      <c r="C80" s="8" t="n">
        <v>2258.841498</v>
      </c>
      <c r="D80" s="6" t="n">
        <v>0</v>
      </c>
      <c r="E80" s="6" t="n">
        <v>-0.06616147999999999</v>
      </c>
      <c r="F80" s="6" t="n">
        <v>0.26153503</v>
      </c>
      <c r="G80" s="6" t="n">
        <v>-0.02400124</v>
      </c>
    </row>
    <row r="81">
      <c r="A81" s="5" t="inlineStr">
        <is>
          <t>2019-02</t>
        </is>
      </c>
      <c r="B81" s="8" t="n">
        <v>4079.510284</v>
      </c>
      <c r="C81" s="8" t="n">
        <v>2331.124426</v>
      </c>
      <c r="D81" s="6" t="n">
        <v>0</v>
      </c>
      <c r="E81" s="6" t="n">
        <v>-0.03627865</v>
      </c>
      <c r="F81" s="6" t="n">
        <v>0.27594624</v>
      </c>
      <c r="G81" s="6" t="n">
        <v>0.04582154</v>
      </c>
    </row>
    <row r="82">
      <c r="A82" s="5" t="inlineStr">
        <is>
          <t>2019-03</t>
        </is>
      </c>
      <c r="B82" s="8" t="n">
        <v>4128.872358</v>
      </c>
      <c r="C82" s="8" t="n">
        <v>2376.34824</v>
      </c>
      <c r="D82" s="6" t="n">
        <v>0</v>
      </c>
      <c r="E82" s="6" t="n">
        <v>-0.01758245</v>
      </c>
      <c r="F82" s="6" t="n">
        <v>0.30022673</v>
      </c>
      <c r="G82" s="6" t="n">
        <v>0.09400767</v>
      </c>
    </row>
    <row r="83">
      <c r="A83" s="5" t="inlineStr">
        <is>
          <t>2019-04</t>
        </is>
      </c>
      <c r="B83" s="8" t="n">
        <v>4207.320933</v>
      </c>
      <c r="C83" s="8" t="n">
        <v>2472.352708</v>
      </c>
      <c r="D83" s="6" t="n">
        <v>0</v>
      </c>
      <c r="E83" s="6" t="n">
        <v>0</v>
      </c>
      <c r="F83" s="6" t="n">
        <v>0.25360114</v>
      </c>
      <c r="G83" s="6" t="n">
        <v>0.13389677</v>
      </c>
    </row>
    <row r="84">
      <c r="A84" s="5" t="inlineStr">
        <is>
          <t>2019-05</t>
        </is>
      </c>
      <c r="B84" s="8" t="n">
        <v>4043.656149</v>
      </c>
      <c r="C84" s="8" t="n">
        <v>2315.111076</v>
      </c>
      <c r="D84" s="6" t="n">
        <v>-0.0389</v>
      </c>
      <c r="E84" s="6" t="n">
        <v>-0.0636</v>
      </c>
      <c r="F84" s="6" t="n">
        <v>0.15582891</v>
      </c>
      <c r="G84" s="6" t="n">
        <v>0.03689545</v>
      </c>
    </row>
    <row r="85">
      <c r="A85" s="5" t="inlineStr">
        <is>
          <t>2019-06</t>
        </is>
      </c>
      <c r="B85" s="8" t="n">
        <v>4235.729816</v>
      </c>
      <c r="C85" s="8" t="n">
        <v>2478.094896</v>
      </c>
      <c r="D85" s="6" t="n">
        <v>0</v>
      </c>
      <c r="E85" s="6" t="n">
        <v>0</v>
      </c>
      <c r="F85" s="6" t="n">
        <v>0.22037172</v>
      </c>
      <c r="G85" s="6" t="n">
        <v>0.10316359</v>
      </c>
    </row>
    <row r="86">
      <c r="A86" s="5" t="inlineStr">
        <is>
          <t>2019-07</t>
        </is>
      </c>
      <c r="B86" s="8" t="n">
        <v>4251.402016</v>
      </c>
      <c r="C86" s="8" t="n">
        <v>2513.531653</v>
      </c>
      <c r="D86" s="6" t="n">
        <v>0</v>
      </c>
      <c r="E86" s="6" t="n">
        <v>0</v>
      </c>
      <c r="F86" s="6" t="n">
        <v>0.21048235</v>
      </c>
      <c r="G86" s="6" t="n">
        <v>0.07891122</v>
      </c>
    </row>
    <row r="87">
      <c r="A87" s="5" t="inlineStr">
        <is>
          <t>2019-08</t>
        </is>
      </c>
      <c r="B87" s="8" t="n">
        <v>4012.473223</v>
      </c>
      <c r="C87" s="8" t="n">
        <v>2473.5665</v>
      </c>
      <c r="D87" s="6" t="n">
        <v>-0.0562</v>
      </c>
      <c r="E87" s="6" t="n">
        <v>-0.0159</v>
      </c>
      <c r="F87" s="6" t="n">
        <v>0.10831708</v>
      </c>
      <c r="G87" s="6" t="n">
        <v>0.02833563</v>
      </c>
    </row>
    <row r="88">
      <c r="A88" s="5" t="inlineStr">
        <is>
          <t>2019-09</t>
        </is>
      </c>
      <c r="B88" s="8" t="n">
        <v>4135.656151</v>
      </c>
      <c r="C88" s="8" t="n">
        <v>2519.574837</v>
      </c>
      <c r="D88" s="6" t="n">
        <v>-0.02722534</v>
      </c>
      <c r="E88" s="6" t="n">
        <v>0</v>
      </c>
      <c r="F88" s="6" t="n">
        <v>0.12657043</v>
      </c>
      <c r="G88" s="6" t="n">
        <v>0.04162954</v>
      </c>
    </row>
    <row r="89">
      <c r="A89" s="5" t="inlineStr">
        <is>
          <t>2019-10</t>
        </is>
      </c>
      <c r="B89" s="8" t="n">
        <v>4324.242071</v>
      </c>
      <c r="C89" s="8" t="n">
        <v>2573.997653</v>
      </c>
      <c r="D89" s="6" t="n">
        <v>0</v>
      </c>
      <c r="E89" s="6" t="n">
        <v>0</v>
      </c>
      <c r="F89" s="6" t="n">
        <v>0.18696296</v>
      </c>
      <c r="G89" s="6" t="n">
        <v>0.14225928</v>
      </c>
    </row>
    <row r="90">
      <c r="A90" s="5" t="inlineStr">
        <is>
          <t>2019-11</t>
        </is>
      </c>
      <c r="B90" s="8" t="n">
        <v>4325.971768</v>
      </c>
      <c r="C90" s="8" t="n">
        <v>2667.176368</v>
      </c>
      <c r="D90" s="6" t="n">
        <v>0</v>
      </c>
      <c r="E90" s="6" t="n">
        <v>0</v>
      </c>
      <c r="F90" s="6" t="n">
        <v>0.1632423</v>
      </c>
      <c r="G90" s="6" t="n">
        <v>0.16005985</v>
      </c>
    </row>
    <row r="91">
      <c r="A91" s="5" t="inlineStr">
        <is>
          <t>2019-12</t>
        </is>
      </c>
      <c r="B91" s="8" t="n">
        <v>4284.009842</v>
      </c>
      <c r="C91" s="8" t="n">
        <v>2747.458377</v>
      </c>
      <c r="D91" s="6" t="n">
        <v>-0.0097</v>
      </c>
      <c r="E91" s="6" t="n">
        <v>0</v>
      </c>
      <c r="F91" s="6" t="n">
        <v>0.17104692</v>
      </c>
      <c r="G91" s="6" t="n">
        <v>0.31373972</v>
      </c>
    </row>
    <row r="92">
      <c r="A92" s="5" t="inlineStr">
        <is>
          <t>2020-01</t>
        </is>
      </c>
      <c r="B92" s="8" t="n">
        <v>4404.390518</v>
      </c>
      <c r="C92" s="8" t="n">
        <v>2746.084648</v>
      </c>
      <c r="D92" s="6" t="n">
        <v>0</v>
      </c>
      <c r="E92" s="6" t="n">
        <v>-0.0005</v>
      </c>
      <c r="F92" s="6" t="n">
        <v>0.11839604</v>
      </c>
      <c r="G92" s="6" t="n">
        <v>0.21570489</v>
      </c>
    </row>
    <row r="93">
      <c r="A93" s="5" t="inlineStr">
        <is>
          <t>2020-02</t>
        </is>
      </c>
      <c r="B93" s="8" t="n">
        <v>3803.191213</v>
      </c>
      <c r="C93" s="8" t="n">
        <v>2519.807273</v>
      </c>
      <c r="D93" s="6" t="n">
        <v>-0.1365</v>
      </c>
      <c r="E93" s="6" t="n">
        <v>-0.08285880000000001</v>
      </c>
      <c r="F93" s="6" t="n">
        <v>-0.06773339</v>
      </c>
      <c r="G93" s="6" t="n">
        <v>0.0809407</v>
      </c>
    </row>
    <row r="94">
      <c r="A94" s="5" t="inlineStr">
        <is>
          <t>2020-03</t>
        </is>
      </c>
      <c r="B94" s="8" t="n">
        <v>5907.116591</v>
      </c>
      <c r="C94" s="8" t="n">
        <v>2208.359094</v>
      </c>
      <c r="D94" s="6" t="n">
        <v>0</v>
      </c>
      <c r="E94" s="6" t="n">
        <v>-0.19621745</v>
      </c>
      <c r="F94" s="6" t="n">
        <v>0.4306852</v>
      </c>
      <c r="G94" s="6" t="n">
        <v>-0.07069214</v>
      </c>
    </row>
    <row r="95">
      <c r="A95" s="5" t="inlineStr">
        <is>
          <t>2020-04</t>
        </is>
      </c>
      <c r="B95" s="8" t="n">
        <v>7658.576661</v>
      </c>
      <c r="C95" s="8" t="n">
        <v>2491.249894</v>
      </c>
      <c r="D95" s="6" t="n">
        <v>0</v>
      </c>
      <c r="E95" s="6" t="n">
        <v>-0.09325290999999999</v>
      </c>
      <c r="F95" s="6" t="n">
        <v>0.82029771</v>
      </c>
      <c r="G95" s="6" t="n">
        <v>0.0076434</v>
      </c>
    </row>
    <row r="96">
      <c r="A96" s="5" t="inlineStr">
        <is>
          <t>2020-05</t>
        </is>
      </c>
      <c r="B96" s="8" t="n">
        <v>8398.395166</v>
      </c>
      <c r="C96" s="8" t="n">
        <v>2609.584264</v>
      </c>
      <c r="D96" s="6" t="n">
        <v>0</v>
      </c>
      <c r="E96" s="6" t="n">
        <v>-0.05018242</v>
      </c>
      <c r="F96" s="6" t="n">
        <v>1.07693109</v>
      </c>
      <c r="G96" s="6" t="n">
        <v>0.12719614</v>
      </c>
    </row>
    <row r="97">
      <c r="A97" s="5" t="inlineStr">
        <is>
          <t>2020-06</t>
        </is>
      </c>
      <c r="B97" s="8" t="n">
        <v>8578.960662</v>
      </c>
      <c r="C97" s="8" t="n">
        <v>2661.254032</v>
      </c>
      <c r="D97" s="6" t="n">
        <v>0</v>
      </c>
      <c r="E97" s="6" t="n">
        <v>-0.03137603</v>
      </c>
      <c r="F97" s="6" t="n">
        <v>1.02537958</v>
      </c>
      <c r="G97" s="6" t="n">
        <v>0.07391127</v>
      </c>
    </row>
    <row r="98">
      <c r="A98" s="5" t="inlineStr">
        <is>
          <t>2020-07</t>
        </is>
      </c>
      <c r="B98" s="8" t="n">
        <v>8957.292826999999</v>
      </c>
      <c r="C98" s="8" t="n">
        <v>2811.082634</v>
      </c>
      <c r="D98" s="6" t="n">
        <v>0</v>
      </c>
      <c r="E98" s="6" t="n">
        <v>0</v>
      </c>
      <c r="F98" s="6" t="n">
        <v>1.10690327</v>
      </c>
      <c r="G98" s="6" t="n">
        <v>0.11837964</v>
      </c>
    </row>
    <row r="99">
      <c r="A99" s="5" t="inlineStr">
        <is>
          <t>2020-08</t>
        </is>
      </c>
      <c r="B99" s="8" t="n">
        <v>9623.715414</v>
      </c>
      <c r="C99" s="8" t="n">
        <v>3012.918367</v>
      </c>
      <c r="D99" s="6" t="n">
        <v>0</v>
      </c>
      <c r="E99" s="6" t="n">
        <v>0</v>
      </c>
      <c r="F99" s="6" t="n">
        <v>1.39844975</v>
      </c>
      <c r="G99" s="6" t="n">
        <v>0.21804624</v>
      </c>
    </row>
    <row r="100">
      <c r="A100" s="5" t="inlineStr">
        <is>
          <t>2020-09</t>
        </is>
      </c>
      <c r="B100" s="8" t="n">
        <v>9952.846481</v>
      </c>
      <c r="C100" s="8" t="n">
        <v>2898.126177</v>
      </c>
      <c r="D100" s="6" t="n">
        <v>0</v>
      </c>
      <c r="E100" s="6" t="n">
        <v>-0.0381</v>
      </c>
      <c r="F100" s="6" t="n">
        <v>1.40659429</v>
      </c>
      <c r="G100" s="6" t="n">
        <v>0.15024413</v>
      </c>
    </row>
    <row r="101">
      <c r="A101" s="5" t="inlineStr">
        <is>
          <t>2020-10</t>
        </is>
      </c>
      <c r="B101" s="8" t="n">
        <v>9264.109505</v>
      </c>
      <c r="C101" s="8" t="n">
        <v>2820.746208</v>
      </c>
      <c r="D101" s="6" t="n">
        <v>-0.0692</v>
      </c>
      <c r="E101" s="6" t="n">
        <v>-0.06378273</v>
      </c>
      <c r="F101" s="6" t="n">
        <v>1.14236607</v>
      </c>
      <c r="G101" s="6" t="n">
        <v>0.095862</v>
      </c>
    </row>
    <row r="102">
      <c r="A102" s="5" t="inlineStr">
        <is>
          <t>2020-11</t>
        </is>
      </c>
      <c r="B102" s="8" t="n">
        <v>10826.964778</v>
      </c>
      <c r="C102" s="8" t="n">
        <v>3129.335844</v>
      </c>
      <c r="D102" s="6" t="n">
        <v>0</v>
      </c>
      <c r="E102" s="6" t="n">
        <v>0</v>
      </c>
      <c r="F102" s="6" t="n">
        <v>1.50278212</v>
      </c>
      <c r="G102" s="6" t="n">
        <v>0.17327668</v>
      </c>
    </row>
    <row r="103">
      <c r="A103" s="5" t="inlineStr">
        <is>
          <t>2020-12</t>
        </is>
      </c>
      <c r="B103" s="8" t="n">
        <v>11358.568749</v>
      </c>
      <c r="C103" s="8" t="n">
        <v>3249.50234</v>
      </c>
      <c r="D103" s="6" t="n">
        <v>0</v>
      </c>
      <c r="E103" s="6" t="n">
        <v>0</v>
      </c>
      <c r="F103" s="6" t="n">
        <v>1.65138717</v>
      </c>
      <c r="G103" s="6" t="n">
        <v>0.18273033</v>
      </c>
    </row>
    <row r="104">
      <c r="A104" s="5" t="inlineStr">
        <is>
          <t>2021-01</t>
        </is>
      </c>
      <c r="B104" s="8" t="n">
        <v>11388.101027</v>
      </c>
      <c r="C104" s="8" t="n">
        <v>3216.357416</v>
      </c>
      <c r="D104" s="6" t="n">
        <v>0</v>
      </c>
      <c r="E104" s="6" t="n">
        <v>-0.0102</v>
      </c>
      <c r="F104" s="6" t="n">
        <v>1.58562473</v>
      </c>
      <c r="G104" s="6" t="n">
        <v>0.1712521</v>
      </c>
    </row>
    <row r="105">
      <c r="A105" s="5" t="inlineStr">
        <is>
          <t>2021-02</t>
        </is>
      </c>
      <c r="B105" s="8" t="n">
        <v>11861.84603</v>
      </c>
      <c r="C105" s="8" t="n">
        <v>3305.772152</v>
      </c>
      <c r="D105" s="6" t="n">
        <v>0</v>
      </c>
      <c r="E105" s="6" t="n">
        <v>0</v>
      </c>
      <c r="F105" s="6" t="n">
        <v>2.11891918</v>
      </c>
      <c r="G105" s="6" t="n">
        <v>0.31191468</v>
      </c>
    </row>
    <row r="106">
      <c r="A106" s="5" t="inlineStr">
        <is>
          <t>2021-03</t>
        </is>
      </c>
      <c r="B106" s="8" t="n">
        <v>12290.058672</v>
      </c>
      <c r="C106" s="8" t="n">
        <v>3450.234395</v>
      </c>
      <c r="D106" s="6" t="n">
        <v>0</v>
      </c>
      <c r="E106" s="6" t="n">
        <v>0</v>
      </c>
      <c r="F106" s="6" t="n">
        <v>1.08055123</v>
      </c>
      <c r="G106" s="6" t="n">
        <v>0.56235207</v>
      </c>
    </row>
    <row r="107">
      <c r="A107" s="5" t="inlineStr">
        <is>
          <t>2021-04</t>
        </is>
      </c>
      <c r="B107" s="8" t="n">
        <v>13135.614708</v>
      </c>
      <c r="C107" s="8" t="n">
        <v>3634.131889</v>
      </c>
      <c r="D107" s="6" t="n">
        <v>0</v>
      </c>
      <c r="E107" s="6" t="n">
        <v>0</v>
      </c>
      <c r="F107" s="6" t="n">
        <v>0.71515091</v>
      </c>
      <c r="G107" s="6" t="n">
        <v>0.45875847</v>
      </c>
    </row>
    <row r="108">
      <c r="A108" s="5" t="inlineStr">
        <is>
          <t>2021-05</t>
        </is>
      </c>
      <c r="B108" s="8" t="n">
        <v>13182.902921</v>
      </c>
      <c r="C108" s="8" t="n">
        <v>3659.207399</v>
      </c>
      <c r="D108" s="6" t="n">
        <v>0</v>
      </c>
      <c r="E108" s="6" t="n">
        <v>0</v>
      </c>
      <c r="F108" s="6" t="n">
        <v>0.5696931</v>
      </c>
      <c r="G108" s="6" t="n">
        <v>0.40221853</v>
      </c>
    </row>
    <row r="109">
      <c r="A109" s="5" t="inlineStr">
        <is>
          <t>2021-06</t>
        </is>
      </c>
      <c r="B109" s="8" t="n">
        <v>13743.176295</v>
      </c>
      <c r="C109" s="8" t="n">
        <v>3744.466931</v>
      </c>
      <c r="D109" s="6" t="n">
        <v>0</v>
      </c>
      <c r="E109" s="6" t="n">
        <v>0</v>
      </c>
      <c r="F109" s="6" t="n">
        <v>0.60196285</v>
      </c>
      <c r="G109" s="6" t="n">
        <v>0.407031</v>
      </c>
    </row>
    <row r="110">
      <c r="A110" s="5" t="inlineStr">
        <is>
          <t>2021-07</t>
        </is>
      </c>
      <c r="B110" s="8" t="n">
        <v>13530.157063</v>
      </c>
      <c r="C110" s="8" t="n">
        <v>3833.210797</v>
      </c>
      <c r="D110" s="6" t="n">
        <v>-0.0155</v>
      </c>
      <c r="E110" s="6" t="n">
        <v>0</v>
      </c>
      <c r="F110" s="6" t="n">
        <v>0.51051856</v>
      </c>
      <c r="G110" s="6" t="n">
        <v>0.36360659</v>
      </c>
    </row>
    <row r="111">
      <c r="A111" s="5" t="inlineStr">
        <is>
          <t>2021-08</t>
        </is>
      </c>
      <c r="B111" s="8" t="n">
        <v>14006.418591</v>
      </c>
      <c r="C111" s="8" t="n">
        <v>3949.357084</v>
      </c>
      <c r="D111" s="6" t="n">
        <v>0</v>
      </c>
      <c r="E111" s="6" t="n">
        <v>0</v>
      </c>
      <c r="F111" s="6" t="n">
        <v>0.45540656</v>
      </c>
      <c r="G111" s="6" t="n">
        <v>0.31080786</v>
      </c>
    </row>
    <row r="112">
      <c r="A112" s="5" t="inlineStr">
        <is>
          <t>2021-09</t>
        </is>
      </c>
      <c r="B112" s="8" t="n">
        <v>13814.530657</v>
      </c>
      <c r="C112" s="8" t="n">
        <v>3765.317044</v>
      </c>
      <c r="D112" s="6" t="n">
        <v>-0.0137</v>
      </c>
      <c r="E112" s="6" t="n">
        <v>-0.0466</v>
      </c>
      <c r="F112" s="6" t="n">
        <v>0.38799796</v>
      </c>
      <c r="G112" s="6" t="n">
        <v>0.29922468</v>
      </c>
    </row>
    <row r="113">
      <c r="A113" s="5" t="inlineStr">
        <is>
          <t>2021-10</t>
        </is>
      </c>
      <c r="B113" s="8" t="n">
        <v>14983.23995</v>
      </c>
      <c r="C113" s="8" t="n">
        <v>4028.889237</v>
      </c>
      <c r="D113" s="6" t="n">
        <v>0</v>
      </c>
      <c r="E113" s="6" t="n">
        <v>0</v>
      </c>
      <c r="F113" s="6" t="n">
        <v>0.61734271</v>
      </c>
      <c r="G113" s="6" t="n">
        <v>0.42830618</v>
      </c>
    </row>
    <row r="114">
      <c r="A114" s="5" t="inlineStr">
        <is>
          <t>2021-11</t>
        </is>
      </c>
      <c r="B114" s="8" t="n">
        <v>15500.161729</v>
      </c>
      <c r="C114" s="8" t="n">
        <v>4000.687013</v>
      </c>
      <c r="D114" s="6" t="n">
        <v>0</v>
      </c>
      <c r="E114" s="6" t="n">
        <v>-0.006999999999999999</v>
      </c>
      <c r="F114" s="6" t="n">
        <v>0.43162576</v>
      </c>
      <c r="G114" s="6" t="n">
        <v>0.27844604</v>
      </c>
    </row>
    <row r="115">
      <c r="A115" s="5" t="inlineStr">
        <is>
          <t>2021-12</t>
        </is>
      </c>
      <c r="B115" s="8" t="n">
        <v>16011.667066</v>
      </c>
      <c r="C115" s="8" t="n">
        <v>4179.517722</v>
      </c>
      <c r="D115" s="6" t="n">
        <v>0</v>
      </c>
      <c r="E115" s="6" t="n">
        <v>0</v>
      </c>
      <c r="F115" s="6" t="n">
        <v>0.40965534</v>
      </c>
      <c r="G115" s="6" t="n">
        <v>0.2862024</v>
      </c>
    </row>
    <row r="116">
      <c r="A116" s="5" t="inlineStr">
        <is>
          <t>2022-01</t>
        </is>
      </c>
      <c r="B116" s="8" t="n">
        <v>15614.577722</v>
      </c>
      <c r="C116" s="8" t="n">
        <v>3963.018704</v>
      </c>
      <c r="D116" s="6" t="n">
        <v>-0.0248</v>
      </c>
      <c r="E116" s="6" t="n">
        <v>-0.0518</v>
      </c>
      <c r="F116" s="6" t="n">
        <v>0.37113094</v>
      </c>
      <c r="G116" s="6" t="n">
        <v>0.232145</v>
      </c>
    </row>
    <row r="117">
      <c r="A117" s="5" t="inlineStr">
        <is>
          <t>2022-02</t>
        </is>
      </c>
      <c r="B117" s="8" t="n">
        <v>15639.561047</v>
      </c>
      <c r="C117" s="8" t="n">
        <v>3844.128143</v>
      </c>
      <c r="D117" s="6" t="n">
        <v>-0.02323968</v>
      </c>
      <c r="E117" s="6" t="n">
        <v>-0.080246</v>
      </c>
      <c r="F117" s="6" t="n">
        <v>0.31847615</v>
      </c>
      <c r="G117" s="6" t="n">
        <v>0.16285333</v>
      </c>
    </row>
    <row r="118">
      <c r="A118" s="5" t="inlineStr">
        <is>
          <t>2022-03</t>
        </is>
      </c>
      <c r="B118" s="8" t="n">
        <v>16505.992729</v>
      </c>
      <c r="C118" s="8" t="n">
        <v>3986.360884</v>
      </c>
      <c r="D118" s="6" t="n">
        <v>0</v>
      </c>
      <c r="E118" s="6" t="n">
        <v>-0.0462151</v>
      </c>
      <c r="F118" s="6" t="n">
        <v>0.34303612</v>
      </c>
      <c r="G118" s="6" t="n">
        <v>0.15538843</v>
      </c>
    </row>
    <row r="119">
      <c r="A119" s="5" t="inlineStr">
        <is>
          <t>2022-04</t>
        </is>
      </c>
      <c r="B119" s="8" t="n">
        <v>16505.992729</v>
      </c>
      <c r="C119" s="8" t="n">
        <v>3638.351579</v>
      </c>
      <c r="D119" s="6" t="n">
        <v>0</v>
      </c>
      <c r="E119" s="6" t="n">
        <v>-0.12948052</v>
      </c>
      <c r="F119" s="6" t="n">
        <v>0.2565832</v>
      </c>
      <c r="G119" s="6" t="n">
        <v>0.00116113</v>
      </c>
    </row>
    <row r="120">
      <c r="A120" s="5" t="inlineStr">
        <is>
          <t>2022-05</t>
        </is>
      </c>
      <c r="B120" s="8" t="n">
        <v>16623.185277</v>
      </c>
      <c r="C120" s="8" t="n">
        <v>3644.900612</v>
      </c>
      <c r="D120" s="6" t="n">
        <v>0</v>
      </c>
      <c r="E120" s="6" t="n">
        <v>-0.12791359</v>
      </c>
      <c r="F120" s="6" t="n">
        <v>0.26096546</v>
      </c>
      <c r="G120" s="6" t="n">
        <v>-0.0039098</v>
      </c>
    </row>
    <row r="121">
      <c r="A121" s="5" t="inlineStr">
        <is>
          <t>2022-06</t>
        </is>
      </c>
      <c r="B121" s="8" t="n">
        <v>16623.185277</v>
      </c>
      <c r="C121" s="8" t="n">
        <v>3343.831821</v>
      </c>
      <c r="D121" s="6" t="n">
        <v>0</v>
      </c>
      <c r="E121" s="6" t="n">
        <v>-0.19994793</v>
      </c>
      <c r="F121" s="6" t="n">
        <v>0.2095592</v>
      </c>
      <c r="G121" s="6" t="n">
        <v>-0.1069939</v>
      </c>
    </row>
    <row r="122">
      <c r="A122" s="5" t="inlineStr">
        <is>
          <t>2022-07</t>
        </is>
      </c>
      <c r="B122" s="8" t="n">
        <v>18391.892191</v>
      </c>
      <c r="C122" s="8" t="n">
        <v>3651.798732</v>
      </c>
      <c r="D122" s="6" t="n">
        <v>0</v>
      </c>
      <c r="E122" s="6" t="n">
        <v>-0.12626313</v>
      </c>
      <c r="F122" s="6" t="n">
        <v>0.3593258500000001</v>
      </c>
      <c r="G122" s="6" t="n">
        <v>-0.0473264</v>
      </c>
    </row>
    <row r="123">
      <c r="A123" s="5" t="inlineStr">
        <is>
          <t>2022-08</t>
        </is>
      </c>
      <c r="B123" s="8" t="n">
        <v>18316.485433</v>
      </c>
      <c r="C123" s="8" t="n">
        <v>3502.440164</v>
      </c>
      <c r="D123" s="6" t="n">
        <v>-0.004099999999999999</v>
      </c>
      <c r="E123" s="6" t="n">
        <v>-0.16199897</v>
      </c>
      <c r="F123" s="6" t="n">
        <v>0.30772084</v>
      </c>
      <c r="G123" s="6" t="n">
        <v>-0.11316194</v>
      </c>
    </row>
    <row r="124">
      <c r="A124" s="5" t="inlineStr">
        <is>
          <t>2022-09</t>
        </is>
      </c>
      <c r="B124" s="8" t="n">
        <v>16821.860221</v>
      </c>
      <c r="C124" s="8" t="n">
        <v>3179.515181</v>
      </c>
      <c r="D124" s="6" t="n">
        <v>-0.08536543999999999</v>
      </c>
      <c r="E124" s="6" t="n">
        <v>-0.23926266</v>
      </c>
      <c r="F124" s="6" t="n">
        <v>0.21769321</v>
      </c>
      <c r="G124" s="6" t="n">
        <v>-0.15557836</v>
      </c>
    </row>
    <row r="125">
      <c r="A125" s="5" t="inlineStr">
        <is>
          <t>2022-10</t>
        </is>
      </c>
      <c r="B125" s="8" t="n">
        <v>18510.774988</v>
      </c>
      <c r="C125" s="8" t="n">
        <v>3436.737959</v>
      </c>
      <c r="D125" s="6" t="n">
        <v>0</v>
      </c>
      <c r="E125" s="6" t="n">
        <v>-0.17771901</v>
      </c>
      <c r="F125" s="6" t="n">
        <v>0.23543206</v>
      </c>
      <c r="G125" s="6" t="n">
        <v>-0.14697631</v>
      </c>
    </row>
    <row r="126">
      <c r="A126" s="5" t="inlineStr">
        <is>
          <t>2022-11</t>
        </is>
      </c>
      <c r="B126" s="8" t="n">
        <v>19488.143907</v>
      </c>
      <c r="C126" s="8" t="n">
        <v>3628.507937</v>
      </c>
      <c r="D126" s="6" t="n">
        <v>0</v>
      </c>
      <c r="E126" s="6" t="n">
        <v>-0.13183573</v>
      </c>
      <c r="F126" s="6" t="n">
        <v>0.25728649</v>
      </c>
      <c r="G126" s="6" t="n">
        <v>-0.09302879000000001</v>
      </c>
    </row>
    <row r="127">
      <c r="A127" s="5" t="inlineStr">
        <is>
          <t>2022-12</t>
        </is>
      </c>
      <c r="B127" s="8" t="n">
        <v>19092.534586</v>
      </c>
      <c r="C127" s="8" t="n">
        <v>3419.143029</v>
      </c>
      <c r="D127" s="6" t="n">
        <v>-0.0203</v>
      </c>
      <c r="E127" s="6" t="n">
        <v>-0.18192881</v>
      </c>
      <c r="F127" s="6" t="n">
        <v>0.19241391</v>
      </c>
      <c r="G127" s="6" t="n">
        <v>-0.18192881</v>
      </c>
    </row>
    <row r="128">
      <c r="A128" s="5" t="inlineStr">
        <is>
          <t>2023-01</t>
        </is>
      </c>
      <c r="B128" s="8" t="n">
        <v>20934.964173</v>
      </c>
      <c r="C128" s="8" t="n">
        <v>3633.865211</v>
      </c>
      <c r="D128" s="6" t="n">
        <v>0</v>
      </c>
      <c r="E128" s="6" t="n">
        <v>-0.13055394</v>
      </c>
      <c r="F128" s="6" t="n">
        <v>0.34073201</v>
      </c>
      <c r="G128" s="6" t="n">
        <v>-0.08305626000000001</v>
      </c>
    </row>
    <row r="129">
      <c r="A129" s="5" t="inlineStr">
        <is>
          <t>2023-02</t>
        </is>
      </c>
      <c r="B129" s="8" t="n">
        <v>20424.151047</v>
      </c>
      <c r="C129" s="8" t="n">
        <v>3544.835514</v>
      </c>
      <c r="D129" s="6" t="n">
        <v>-0.0244</v>
      </c>
      <c r="E129" s="6" t="n">
        <v>-0.15185537</v>
      </c>
      <c r="F129" s="6" t="n">
        <v>0.30592866</v>
      </c>
      <c r="G129" s="6" t="n">
        <v>-0.07785709</v>
      </c>
    </row>
    <row r="130">
      <c r="A130" s="5" t="inlineStr">
        <is>
          <t>2023-03</t>
        </is>
      </c>
      <c r="B130" s="8" t="n">
        <v>21549.52177</v>
      </c>
      <c r="C130" s="8" t="n">
        <v>3674.576493</v>
      </c>
      <c r="D130" s="6" t="n">
        <v>0</v>
      </c>
      <c r="E130" s="6" t="n">
        <v>-0.12081328</v>
      </c>
      <c r="F130" s="6" t="n">
        <v>0.30555745</v>
      </c>
      <c r="G130" s="6" t="n">
        <v>-0.07821278999999999</v>
      </c>
    </row>
    <row r="131">
      <c r="A131" s="5" t="inlineStr">
        <is>
          <t>2023-04</t>
        </is>
      </c>
      <c r="B131" s="8" t="n">
        <v>21777.946701</v>
      </c>
      <c r="C131" s="8" t="n">
        <v>3731.532429</v>
      </c>
      <c r="D131" s="6" t="n">
        <v>0</v>
      </c>
      <c r="E131" s="6" t="n">
        <v>-0.10718588</v>
      </c>
      <c r="F131" s="6" t="n">
        <v>0.31939636</v>
      </c>
      <c r="G131" s="6" t="n">
        <v>0.02561073</v>
      </c>
    </row>
    <row r="132">
      <c r="A132" s="5" t="inlineStr">
        <is>
          <t>2023-05</t>
        </is>
      </c>
      <c r="B132" s="8" t="n">
        <v>21960.881453</v>
      </c>
      <c r="C132" s="8" t="n">
        <v>3747.578019</v>
      </c>
      <c r="D132" s="6" t="n">
        <v>0</v>
      </c>
      <c r="E132" s="6" t="n">
        <v>-0.10334678</v>
      </c>
      <c r="F132" s="6" t="n">
        <v>0.32109948</v>
      </c>
      <c r="G132" s="6" t="n">
        <v>0.02817015</v>
      </c>
    </row>
    <row r="133">
      <c r="A133" s="5" t="inlineStr">
        <is>
          <t>2023-06</t>
        </is>
      </c>
      <c r="B133" s="8" t="n">
        <v>23616.731915</v>
      </c>
      <c r="C133" s="8" t="n">
        <v>3994.918168</v>
      </c>
      <c r="D133" s="6" t="n">
        <v>0</v>
      </c>
      <c r="E133" s="6" t="n">
        <v>-0.04416767</v>
      </c>
      <c r="F133" s="6" t="n">
        <v>0.42071038</v>
      </c>
      <c r="G133" s="6" t="n">
        <v>0.19471265</v>
      </c>
    </row>
    <row r="134">
      <c r="A134" s="5" t="inlineStr">
        <is>
          <t>2023-07</t>
        </is>
      </c>
      <c r="B134" s="8" t="n">
        <v>24138.66169</v>
      </c>
      <c r="C134" s="8" t="n">
        <v>4122.755549</v>
      </c>
      <c r="D134" s="6" t="n">
        <v>0</v>
      </c>
      <c r="E134" s="6" t="n">
        <v>-0.01358103</v>
      </c>
      <c r="F134" s="6" t="n">
        <v>0.31246211</v>
      </c>
      <c r="G134" s="6" t="n">
        <v>0.12896571</v>
      </c>
    </row>
    <row r="135">
      <c r="A135" s="5" t="inlineStr">
        <is>
          <t>2023-08</t>
        </is>
      </c>
      <c r="B135" s="8" t="n">
        <v>24413.842433</v>
      </c>
      <c r="C135" s="8" t="n">
        <v>4056.79146</v>
      </c>
      <c r="D135" s="6" t="n">
        <v>0</v>
      </c>
      <c r="E135" s="6" t="n">
        <v>-0.02936374</v>
      </c>
      <c r="F135" s="6" t="n">
        <v>0.33288903</v>
      </c>
      <c r="G135" s="6" t="n">
        <v>0.15827574</v>
      </c>
    </row>
    <row r="136">
      <c r="A136" s="5" t="inlineStr">
        <is>
          <t>2023-09</t>
        </is>
      </c>
      <c r="B136" s="8" t="n">
        <v>23864.530978</v>
      </c>
      <c r="C136" s="8" t="n">
        <v>3863.282508</v>
      </c>
      <c r="D136" s="6" t="n">
        <v>-0.0225</v>
      </c>
      <c r="E136" s="6" t="n">
        <v>-0.07566309</v>
      </c>
      <c r="F136" s="6" t="n">
        <v>0.41866183</v>
      </c>
      <c r="G136" s="6" t="n">
        <v>0.21505396</v>
      </c>
    </row>
    <row r="137">
      <c r="A137" s="5" t="inlineStr">
        <is>
          <t>2023-10</t>
        </is>
      </c>
      <c r="B137" s="8" t="n">
        <v>22494.7069</v>
      </c>
      <c r="C137" s="8" t="n">
        <v>3781.767247</v>
      </c>
      <c r="D137" s="6" t="n">
        <v>-0.0786085</v>
      </c>
      <c r="E137" s="6" t="n">
        <v>-0.0951666</v>
      </c>
      <c r="F137" s="6" t="n">
        <v>0.21522232</v>
      </c>
      <c r="G137" s="6" t="n">
        <v>0.10039441</v>
      </c>
    </row>
    <row r="138">
      <c r="A138" s="5" t="inlineStr">
        <is>
          <t>2023-11</t>
        </is>
      </c>
      <c r="B138" s="8" t="n">
        <v>23464.228768</v>
      </c>
      <c r="C138" s="8" t="n">
        <v>4126.66442</v>
      </c>
      <c r="D138" s="6" t="n">
        <v>-0.03889653</v>
      </c>
      <c r="E138" s="6" t="n">
        <v>-0.01264579</v>
      </c>
      <c r="F138" s="6" t="n">
        <v>0.20402584</v>
      </c>
      <c r="G138" s="6" t="n">
        <v>0.13728962</v>
      </c>
    </row>
    <row r="139">
      <c r="A139" s="5" t="inlineStr">
        <is>
          <t>2023-12</t>
        </is>
      </c>
      <c r="B139" s="8" t="n">
        <v>23928.820497</v>
      </c>
      <c r="C139" s="8" t="n">
        <v>4314.014984</v>
      </c>
      <c r="D139" s="6" t="n">
        <v>-0.01986668</v>
      </c>
      <c r="E139" s="6" t="n">
        <v>0</v>
      </c>
      <c r="F139" s="6" t="n">
        <v>0.25330769</v>
      </c>
      <c r="G139" s="6" t="n">
        <v>0.26172405</v>
      </c>
    </row>
    <row r="140">
      <c r="A140" s="5" t="inlineStr">
        <is>
          <t>2024-01</t>
        </is>
      </c>
      <c r="B140" s="8" t="n">
        <v>23232.491821</v>
      </c>
      <c r="C140" s="8" t="n">
        <v>4386.059035</v>
      </c>
      <c r="D140" s="6" t="n">
        <v>-0.04838856</v>
      </c>
      <c r="E140" s="6" t="n">
        <v>0</v>
      </c>
      <c r="F140" s="6" t="n">
        <v>0.10974596</v>
      </c>
      <c r="G140" s="6" t="n">
        <v>0.20699552</v>
      </c>
    </row>
    <row r="141">
      <c r="A141" s="5" t="inlineStr">
        <is>
          <t>2024-02</t>
        </is>
      </c>
      <c r="B141" s="8" t="n">
        <v>25295.537094</v>
      </c>
      <c r="C141" s="8" t="n">
        <v>4619.835981</v>
      </c>
      <c r="D141" s="6" t="n">
        <v>0</v>
      </c>
      <c r="E141" s="6" t="n">
        <v>0</v>
      </c>
      <c r="F141" s="6" t="n">
        <v>0.23851107</v>
      </c>
      <c r="G141" s="6" t="n">
        <v>0.30325821</v>
      </c>
    </row>
    <row r="142">
      <c r="A142" s="5" t="inlineStr">
        <is>
          <t>2024-03</t>
        </is>
      </c>
      <c r="B142" s="8" t="n">
        <v>25654.733721</v>
      </c>
      <c r="C142" s="8" t="n">
        <v>4768.132716</v>
      </c>
      <c r="D142" s="6" t="n">
        <v>0</v>
      </c>
      <c r="E142" s="6" t="n">
        <v>0</v>
      </c>
      <c r="F142" s="6" t="n">
        <v>0.1905013</v>
      </c>
      <c r="G142" s="6" t="n">
        <v>0.29760061</v>
      </c>
    </row>
    <row r="143">
      <c r="A143" s="5" t="inlineStr">
        <is>
          <t>2024-04</t>
        </is>
      </c>
      <c r="B143" s="8" t="n">
        <v>25146.769994</v>
      </c>
      <c r="C143" s="8" t="n">
        <v>4573.116088</v>
      </c>
      <c r="D143" s="6" t="n">
        <v>-0.0198</v>
      </c>
      <c r="E143" s="6" t="n">
        <v>-0.0409</v>
      </c>
      <c r="F143" s="6" t="n">
        <v>0.15468967</v>
      </c>
      <c r="G143" s="6" t="n">
        <v>0.22553299</v>
      </c>
    </row>
    <row r="144">
      <c r="A144" s="5" t="inlineStr">
        <is>
          <t>2024-05</t>
        </is>
      </c>
      <c r="B144" s="8" t="n">
        <v>26632.9441</v>
      </c>
      <c r="C144" s="8" t="n">
        <v>4799.485334</v>
      </c>
      <c r="D144" s="6" t="n">
        <v>0</v>
      </c>
      <c r="E144" s="6" t="n">
        <v>0</v>
      </c>
      <c r="F144" s="6" t="n">
        <v>0.21274477</v>
      </c>
      <c r="G144" s="6" t="n">
        <v>0.2806899</v>
      </c>
    </row>
    <row r="145">
      <c r="A145" s="5" t="inlineStr">
        <is>
          <t>2024-06</t>
        </is>
      </c>
      <c r="B145" s="8" t="n">
        <v>28531.873014</v>
      </c>
      <c r="C145" s="8" t="n">
        <v>4971.306909</v>
      </c>
      <c r="D145" s="6" t="n">
        <v>0</v>
      </c>
      <c r="E145" s="6" t="n">
        <v>0</v>
      </c>
      <c r="F145" s="6" t="n">
        <v>0.20812114</v>
      </c>
      <c r="G145" s="6" t="n">
        <v>0.2444077</v>
      </c>
    </row>
    <row r="146">
      <c r="A146" s="5" t="inlineStr">
        <is>
          <t>2024-07</t>
        </is>
      </c>
      <c r="B146" s="8" t="n">
        <v>27992.620615</v>
      </c>
      <c r="C146" s="8" t="n">
        <v>5031.459723</v>
      </c>
      <c r="D146" s="6" t="n">
        <v>-0.0189</v>
      </c>
      <c r="E146" s="6" t="n">
        <v>0</v>
      </c>
      <c r="F146" s="6" t="n">
        <v>0.15965918</v>
      </c>
      <c r="G146" s="6" t="n">
        <v>0.22041185</v>
      </c>
    </row>
    <row r="147">
      <c r="A147" s="5" t="inlineStr">
        <is>
          <t>2024-08</t>
        </is>
      </c>
      <c r="B147" s="8" t="n">
        <v>30344.000746</v>
      </c>
      <c r="C147" s="8" t="n">
        <v>5153.221048</v>
      </c>
      <c r="D147" s="6" t="n">
        <v>0</v>
      </c>
      <c r="E147" s="6" t="n">
        <v>0</v>
      </c>
      <c r="F147" s="6" t="n">
        <v>0.24290147</v>
      </c>
      <c r="G147" s="6" t="n">
        <v>0.27027014</v>
      </c>
    </row>
    <row r="148">
      <c r="A148" s="5" t="inlineStr">
        <is>
          <t>2024-09</t>
        </is>
      </c>
      <c r="B148" s="8" t="n">
        <v>30368.275947</v>
      </c>
      <c r="C148" s="8" t="n">
        <v>5262.984657</v>
      </c>
      <c r="D148" s="6" t="n">
        <v>0</v>
      </c>
      <c r="E148" s="6" t="n">
        <v>0</v>
      </c>
      <c r="F148" s="6" t="n">
        <v>0.27252767</v>
      </c>
      <c r="G148" s="6" t="n">
        <v>0.36230903</v>
      </c>
    </row>
    <row r="149">
      <c r="A149" s="5" t="inlineStr">
        <is>
          <t>2024-10</t>
        </is>
      </c>
      <c r="B149" s="8" t="n">
        <v>28874.15677</v>
      </c>
      <c r="C149" s="8" t="n">
        <v>5214.565198</v>
      </c>
      <c r="D149" s="6" t="n">
        <v>-0.0492</v>
      </c>
      <c r="E149" s="6" t="n">
        <v>-0.0092</v>
      </c>
      <c r="F149" s="6" t="n">
        <v>0.28359782</v>
      </c>
      <c r="G149" s="6" t="n">
        <v>0.37886995</v>
      </c>
    </row>
    <row r="150">
      <c r="A150" s="5" t="inlineStr">
        <is>
          <t>2024-11</t>
        </is>
      </c>
      <c r="B150" s="8" t="n">
        <v>29223.534067</v>
      </c>
      <c r="C150" s="8" t="n">
        <v>5520.138718</v>
      </c>
      <c r="D150" s="6" t="n">
        <v>-0.03769532</v>
      </c>
      <c r="E150" s="6" t="n">
        <v>0</v>
      </c>
      <c r="F150" s="6" t="n">
        <v>0.24545044</v>
      </c>
      <c r="G150" s="6" t="n">
        <v>0.3376757</v>
      </c>
    </row>
    <row r="151">
      <c r="A151" s="5" t="inlineStr">
        <is>
          <t>2024-12</t>
        </is>
      </c>
      <c r="B151" s="8" t="n">
        <v>29290.748195</v>
      </c>
      <c r="C151" s="8" t="n">
        <v>5388.207403</v>
      </c>
      <c r="D151" s="6" t="n">
        <v>-0.03548202</v>
      </c>
      <c r="E151" s="6" t="n">
        <v>-0.0239</v>
      </c>
      <c r="F151" s="6" t="n">
        <v>0.22407823</v>
      </c>
      <c r="G151" s="6" t="n">
        <v>0.24900062</v>
      </c>
    </row>
    <row r="152">
      <c r="A152" s="5" t="inlineStr">
        <is>
          <t>2025-01</t>
        </is>
      </c>
      <c r="B152" s="8" t="n">
        <v>32896.439298</v>
      </c>
      <c r="C152" s="8" t="n">
        <v>5537.999569</v>
      </c>
      <c r="D152" s="6" t="n">
        <v>0</v>
      </c>
      <c r="E152" s="6" t="n">
        <v>0</v>
      </c>
      <c r="F152" s="6" t="n">
        <v>0.41596689</v>
      </c>
      <c r="G152" s="6" t="n">
        <v>0.26263681</v>
      </c>
    </row>
    <row r="153">
      <c r="A153" s="5" t="inlineStr">
        <is>
          <t>2025-02</t>
        </is>
      </c>
      <c r="B153" s="8" t="n">
        <v>30807.515403</v>
      </c>
      <c r="C153" s="8" t="n">
        <v>5465.451774</v>
      </c>
      <c r="D153" s="6" t="n">
        <v>-0.0635</v>
      </c>
      <c r="E153" s="6" t="n">
        <v>-0.0131</v>
      </c>
      <c r="F153" s="6" t="n">
        <v>0.21790319</v>
      </c>
      <c r="G153" s="6" t="n">
        <v>0.18304022</v>
      </c>
    </row>
    <row r="154">
      <c r="A154" s="5" t="inlineStr">
        <is>
          <t>2025-03</t>
        </is>
      </c>
      <c r="B154" s="8" t="n">
        <v>28481.54799</v>
      </c>
      <c r="C154" s="8" t="n">
        <v>5157.200294</v>
      </c>
      <c r="D154" s="6" t="n">
        <v>-0.13420575</v>
      </c>
      <c r="E154" s="6" t="n">
        <v>-0.06876116</v>
      </c>
      <c r="F154" s="6" t="n">
        <v>0.11018685</v>
      </c>
      <c r="G154" s="6" t="n">
        <v>0.08159746999999999</v>
      </c>
    </row>
    <row r="155">
      <c r="A155" s="5" t="inlineStr">
        <is>
          <t>2025-04</t>
        </is>
      </c>
      <c r="B155" s="8" t="n">
        <v>29888.536461</v>
      </c>
      <c r="C155" s="8" t="n">
        <v>5121.615612</v>
      </c>
      <c r="D155" s="6" t="n">
        <v>-0.09143551</v>
      </c>
      <c r="E155" s="6" t="n">
        <v>-0.07518671</v>
      </c>
      <c r="F155" s="6" t="n">
        <v>0.18856364</v>
      </c>
      <c r="G155" s="6" t="n">
        <v>0.11994</v>
      </c>
    </row>
    <row r="156">
      <c r="A156" s="5" t="inlineStr">
        <is>
          <t>2025-05</t>
        </is>
      </c>
      <c r="B156" s="8" t="n">
        <v>31116.955309</v>
      </c>
      <c r="C156" s="8" t="n">
        <v>5443.765234</v>
      </c>
      <c r="D156" s="6" t="n">
        <v>-0.05409351</v>
      </c>
      <c r="E156" s="6" t="n">
        <v>-0.01701595</v>
      </c>
      <c r="F156" s="6" t="n">
        <v>0.16836333</v>
      </c>
      <c r="G156" s="6" t="n">
        <v>0.13423937</v>
      </c>
    </row>
    <row r="157">
      <c r="A157" s="5" t="inlineStr">
        <is>
          <t>2025-06</t>
        </is>
      </c>
      <c r="B157" s="8" t="n">
        <v>34253.544404</v>
      </c>
      <c r="C157" s="8" t="n">
        <v>5720.308508</v>
      </c>
      <c r="D157" s="6" t="n">
        <v>0</v>
      </c>
      <c r="E157" s="6" t="n">
        <v>0</v>
      </c>
      <c r="F157" s="6" t="n">
        <v>0.20053613</v>
      </c>
      <c r="G157" s="6" t="n">
        <v>0.15066493</v>
      </c>
    </row>
    <row r="158">
      <c r="A158" s="5" t="inlineStr">
        <is>
          <t>2025-07</t>
        </is>
      </c>
      <c r="B158" s="8" t="n">
        <v>36452.621955</v>
      </c>
      <c r="C158" s="8" t="n">
        <v>5848.443419</v>
      </c>
      <c r="D158" s="6" t="n">
        <v>0</v>
      </c>
      <c r="E158" s="6" t="n">
        <v>0</v>
      </c>
      <c r="F158" s="6" t="n">
        <v>0.30222256</v>
      </c>
      <c r="G158" s="6" t="n">
        <v>0.16237508</v>
      </c>
    </row>
    <row r="159">
      <c r="A159" s="5" t="inlineStr">
        <is>
          <t>2025-08</t>
        </is>
      </c>
      <c r="B159" s="8" t="n">
        <v>38807.461333</v>
      </c>
      <c r="C159" s="8" t="n">
        <v>5966.581976</v>
      </c>
      <c r="D159" s="6" t="n">
        <v>0</v>
      </c>
      <c r="E159" s="6" t="n">
        <v>0</v>
      </c>
      <c r="F159" s="6" t="n">
        <v>0.2789171</v>
      </c>
      <c r="G159" s="6" t="n">
        <v>0.15783544</v>
      </c>
    </row>
    <row r="160">
      <c r="A160" s="5" t="inlineStr">
        <is>
          <t>2025-09</t>
        </is>
      </c>
      <c r="B160" s="8" t="n">
        <v>40697.3847</v>
      </c>
      <c r="C160" s="8" t="n">
        <v>6183.76556</v>
      </c>
      <c r="D160" s="6" t="n">
        <v>0</v>
      </c>
      <c r="E160" s="6" t="n">
        <v>0</v>
      </c>
      <c r="F160" s="6" t="n">
        <v>0.34012826</v>
      </c>
      <c r="G160" s="6" t="n">
        <v>0.17495413</v>
      </c>
    </row>
    <row r="161">
      <c r="A161" s="5" t="inlineStr">
        <is>
          <t>2025-10</t>
        </is>
      </c>
      <c r="B161" s="8" t="n">
        <v>42402.605119</v>
      </c>
      <c r="C161" s="8" t="n">
        <v>6327.847297</v>
      </c>
      <c r="D161" s="6" t="n">
        <v>0</v>
      </c>
      <c r="E161" s="6" t="n">
        <v>0</v>
      </c>
      <c r="F161" s="6" t="n">
        <v>0.4685313699999999</v>
      </c>
      <c r="G161" s="6" t="n">
        <v>0.21349471</v>
      </c>
    </row>
    <row r="162">
      <c r="A162" s="5" t="inlineStr">
        <is>
          <t>2025-11</t>
        </is>
      </c>
      <c r="B162" s="8" t="n">
        <v>41215.332176</v>
      </c>
      <c r="C162" s="8" t="n">
        <v>6343.034131</v>
      </c>
      <c r="D162" s="6" t="n">
        <v>-0.028</v>
      </c>
      <c r="E162" s="6" t="n">
        <v>0</v>
      </c>
      <c r="F162" s="6" t="n">
        <v>0.41034729</v>
      </c>
      <c r="G162" s="6" t="n">
        <v>0.14907151</v>
      </c>
    </row>
    <row r="163">
      <c r="A163" s="5" t="inlineStr">
        <is>
          <t>2025-12</t>
        </is>
      </c>
      <c r="B163" s="8" t="n">
        <v>41668.70083</v>
      </c>
      <c r="C163" s="8" t="n">
        <v>6346.205648</v>
      </c>
      <c r="D163" s="6" t="n">
        <v>-0.017308</v>
      </c>
      <c r="E163" s="6" t="n">
        <v>0</v>
      </c>
      <c r="F163" s="6" t="n">
        <v>0.42258916</v>
      </c>
      <c r="G163" s="6" t="n">
        <v>0.17779535</v>
      </c>
    </row>
    <row r="164">
      <c r="A164" s="5" t="inlineStr">
        <is>
          <t>2026-01</t>
        </is>
      </c>
      <c r="B164" s="8" t="n">
        <v>40522.811557</v>
      </c>
      <c r="C164" s="8" t="n">
        <v>6437.591009</v>
      </c>
      <c r="D164" s="6" t="n">
        <v>-0.04433202999999999</v>
      </c>
      <c r="E164" s="6" t="n">
        <v>0</v>
      </c>
      <c r="F164" s="6" t="n">
        <v>0.23182972</v>
      </c>
      <c r="G164" s="6" t="n">
        <v>0.16243978</v>
      </c>
    </row>
    <row r="165">
      <c r="A165" s="5" t="inlineStr">
        <is>
          <t>2026-02</t>
        </is>
      </c>
      <c r="B165" s="8" t="n">
        <v>40923.987391</v>
      </c>
      <c r="C165" s="8" t="n">
        <v>6388.021559</v>
      </c>
      <c r="D165" s="6" t="n">
        <v>-0.03487092</v>
      </c>
      <c r="E165" s="6" t="n">
        <v>-0.0077</v>
      </c>
      <c r="F165" s="6" t="n">
        <v>0.32837676</v>
      </c>
      <c r="G165" s="6" t="n">
        <v>0.16880028</v>
      </c>
    </row>
    <row r="166">
      <c r="A166" s="5" t="inlineStr">
        <is>
          <t>2026-03</t>
        </is>
      </c>
      <c r="B166" s="8" t="n">
        <v>38984.190389</v>
      </c>
      <c r="C166" s="8" t="n">
        <v>6069.259283</v>
      </c>
      <c r="D166" s="6" t="n">
        <v>-0.08061804</v>
      </c>
      <c r="E166" s="6" t="n">
        <v>-0.05721577</v>
      </c>
      <c r="F166" s="6" t="n">
        <v>0.36875251</v>
      </c>
      <c r="G166" s="6" t="n">
        <v>0.17685157</v>
      </c>
    </row>
    <row r="167">
      <c r="A167" s="5" t="inlineStr">
        <is>
          <t>2026-04</t>
        </is>
      </c>
      <c r="B167" s="8" t="n">
        <v>42290.049734</v>
      </c>
      <c r="C167" s="8" t="n">
        <v>6705.317656</v>
      </c>
      <c r="D167" s="6" t="n">
        <v>-0.00265445</v>
      </c>
      <c r="E167" s="6" t="n">
        <v>0</v>
      </c>
      <c r="F167" s="6" t="n">
        <v>0.4149254100000001</v>
      </c>
      <c r="G167" s="6" t="n">
        <v>0.30921923</v>
      </c>
    </row>
    <row r="168">
      <c r="A168" s="5" t="inlineStr">
        <is>
          <t>2026-05</t>
        </is>
      </c>
      <c r="B168" s="8" t="n">
        <v>44290.369087</v>
      </c>
      <c r="C168" s="8" t="n">
        <v>7058.017364</v>
      </c>
      <c r="D168" s="6" t="n">
        <v>0</v>
      </c>
      <c r="E168" s="6" t="n">
        <v>0</v>
      </c>
      <c r="F168" s="6" t="n">
        <v>0.42335163</v>
      </c>
      <c r="G168" s="6" t="n">
        <v>0.29653228</v>
      </c>
    </row>
    <row r="169">
      <c r="A169" s="5" t="inlineStr">
        <is>
          <t>2026-06</t>
        </is>
      </c>
      <c r="B169" s="8" t="n">
        <v>44215.075459</v>
      </c>
      <c r="C169" s="8" t="n">
        <v>6990.260398</v>
      </c>
      <c r="D169" s="6" t="n">
        <v>-0.0017</v>
      </c>
      <c r="E169" s="6" t="n">
        <v>-0.009599999999999999</v>
      </c>
      <c r="F169" s="6" t="n">
        <v>0.29081753</v>
      </c>
      <c r="G169" s="6" t="n">
        <v>0.22200759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2026-09-03T14:26:19Z</dcterms:created>
  <dcterms:modified xmlns:dcterms="http://purl.org/dc/terms/" xmlns:xsi="http://www.w3.org/2001/XMLSchema-instance" xsi:type="dcterms:W3CDTF">2026-09-03T14:26:19Z</dcterms:modified>
</cp:coreProperties>
</file>