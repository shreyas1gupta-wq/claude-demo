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 a Glance" sheetId="1" state="visible" r:id="rId1"/>
    <sheet name="Recommendations" sheetId="2" state="visible" r:id="rId2"/>
    <sheet name="Compos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6233B"/>
      <sz val="16"/>
    </font>
    <font>
      <name val="Arial"/>
      <color rgb="006B7280"/>
      <sz val="10"/>
    </font>
    <font>
      <name val="Arial"/>
      <b val="1"/>
      <color rgb="00FFFFFF"/>
      <sz val="10"/>
    </font>
    <font>
      <name val="Arial"/>
      <b val="1"/>
      <color rgb="0016233B"/>
      <sz val="18"/>
    </font>
    <font>
      <name val="Arial"/>
      <color rgb="00000000"/>
      <sz val="10"/>
    </font>
    <font>
      <name val="Arial"/>
      <b val="1"/>
      <color rgb="0016233B"/>
      <sz val="10"/>
    </font>
    <font>
      <name val="Arial"/>
      <b val="1"/>
      <color rgb="0016233B"/>
      <sz val="12"/>
    </font>
    <font>
      <name val="Arial"/>
      <b val="1"/>
      <color rgb="00000000"/>
      <sz val="10"/>
    </font>
    <font>
      <name val="Arial"/>
      <i val="1"/>
      <color rgb="006B7280"/>
      <sz val="9"/>
    </font>
    <font>
      <name val="Arial"/>
      <b val="1"/>
      <color rgb="0016233B"/>
      <sz val="11"/>
    </font>
    <font>
      <name val="Arial"/>
      <color rgb="006B7280"/>
      <sz val="9"/>
    </font>
    <font>
      <name val="Arial"/>
      <b val="1"/>
      <color rgb="0016233B"/>
      <sz val="14"/>
    </font>
  </fonts>
  <fills count="8">
    <fill>
      <patternFill/>
    </fill>
    <fill>
      <patternFill patternType="gray125"/>
    </fill>
    <fill>
      <patternFill patternType="solid">
        <fgColor rgb="001B27A3"/>
      </patternFill>
    </fill>
    <fill>
      <patternFill patternType="solid">
        <fgColor rgb="00EEEFF7"/>
      </patternFill>
    </fill>
    <fill>
      <patternFill patternType="solid">
        <fgColor rgb="0016233B"/>
      </patternFill>
    </fill>
    <fill>
      <patternFill patternType="solid">
        <fgColor rgb="00F5F6FC"/>
      </patternFill>
    </fill>
    <fill>
      <patternFill patternType="solid">
        <fgColor rgb="008C95DE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1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0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/>
    </xf>
    <xf numFmtId="1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1" fontId="6" fillId="6" borderId="1" applyAlignment="1" pivotButton="0" quotePrefix="0" xfId="0">
      <alignment horizontal="center" vertical="center"/>
    </xf>
    <xf numFmtId="10" fontId="6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5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18" customWidth="1" min="4" max="4"/>
    <col width="22" customWidth="1" min="5" max="5"/>
    <col width="2" customWidth="1" min="6" max="6"/>
  </cols>
  <sheetData>
    <row r="2">
      <c r="B2" s="1" t="inlineStr">
        <is>
          <t>IONIC WEALTH  |  Portfolio Snapshot</t>
        </is>
      </c>
    </row>
    <row r="3">
      <c r="B3" s="2" t="inlineStr">
        <is>
          <t>Client: Shreyas Gupta   ·   Account: NDPMS   ·   As of: 30 July 2026</t>
        </is>
      </c>
    </row>
    <row r="5">
      <c r="B5" s="3" t="inlineStr">
        <is>
          <t>Total Holdings</t>
        </is>
      </c>
      <c r="C5" s="3" t="inlineStr">
        <is>
          <t>Equity (Stocks)</t>
        </is>
      </c>
      <c r="D5" s="3" t="inlineStr">
        <is>
          <t>Mutual Funds</t>
        </is>
      </c>
    </row>
    <row r="6">
      <c r="B6" s="4">
        <f>15</f>
        <v>15.0</v>
      </c>
      <c r="C6" s="4">
        <f>11</f>
        <v>11.0</v>
      </c>
      <c r="D6" s="4">
        <f>4</f>
        <v>4.0</v>
      </c>
    </row>
    <row r="8">
      <c r="B8" s="5" t="inlineStr">
        <is>
          <t>Construction</t>
        </is>
      </c>
      <c r="C8" s="6" t="inlineStr">
        <is>
          <t>Equal weight across all 15 holdings</t>
        </is>
      </c>
      <c r="E8" s="6" t="inlineStr"/>
    </row>
    <row r="9">
      <c r="B9" s="5" t="inlineStr">
        <is>
          <t>Target weight per holding</t>
        </is>
      </c>
      <c r="C9" s="7">
        <f>1/15</f>
        <v>0.06666666666666667</v>
      </c>
      <c r="E9" s="6" t="inlineStr"/>
    </row>
    <row r="11">
      <c r="B11" s="8" t="inlineStr">
        <is>
          <t>Allocation by sleeve</t>
        </is>
      </c>
    </row>
    <row r="12">
      <c r="B12" s="9" t="inlineStr">
        <is>
          <t>Sleeve</t>
        </is>
      </c>
      <c r="C12" s="9" t="inlineStr">
        <is>
          <t># Holdings</t>
        </is>
      </c>
      <c r="D12" s="9" t="inlineStr">
        <is>
          <t>Weight</t>
        </is>
      </c>
      <c r="E12" s="9" t="inlineStr">
        <is>
          <t>Basis</t>
        </is>
      </c>
    </row>
    <row r="13">
      <c r="B13" s="10" t="inlineStr">
        <is>
          <t>Direct Equity</t>
        </is>
      </c>
      <c r="C13" s="11">
        <f>11</f>
        <v>11.0</v>
      </c>
      <c r="D13" s="12">
        <f>C13/15</f>
        <v>0.7333333333333333</v>
      </c>
      <c r="E13" s="13" t="inlineStr">
        <is>
          <t>11 x equal weight</t>
        </is>
      </c>
    </row>
    <row r="14">
      <c r="B14" s="10" t="inlineStr">
        <is>
          <t>Mutual Funds</t>
        </is>
      </c>
      <c r="C14" s="11">
        <f>4</f>
        <v>4.0</v>
      </c>
      <c r="D14" s="12">
        <f>C14/15</f>
        <v>0.26666666666666666</v>
      </c>
      <c r="E14" s="13" t="inlineStr">
        <is>
          <t>4 x equal weight</t>
        </is>
      </c>
    </row>
    <row r="15">
      <c r="B15" s="14" t="inlineStr">
        <is>
          <t>Total</t>
        </is>
      </c>
      <c r="C15" s="15">
        <f>SUM(C13:C14)</f>
        <v>15.0</v>
      </c>
      <c r="D15" s="16">
        <f>SUM(D13:D14)</f>
        <v>1.0</v>
      </c>
      <c r="E15" s="17" t="inlineStr"/>
    </row>
    <row r="17">
      <c r="B17" s="8" t="inlineStr">
        <is>
          <t>Data status</t>
        </is>
      </c>
    </row>
    <row r="18" ht="60" customHeight="1">
      <c r="B18" s="18" t="inlineStr">
        <is>
          <t>Ionic Scores and Sell / Trim / Hold recommendations are marked 'Pending scoring run'. The scorecard pipeline is not available in this session; no scores or verdicts have been fabricated. ISINs and rupee values are left blank for the RM to populate from the CAS statement.</t>
        </is>
      </c>
      <c r="C18" s="19" t="n"/>
      <c r="D18" s="19" t="n"/>
      <c r="E18" s="19" t="n"/>
    </row>
  </sheetData>
  <mergeCells count="3">
    <mergeCell ref="B18:E18"/>
    <mergeCell ref="C8:D8"/>
    <mergeCell ref="C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2" customWidth="1" min="3" max="3"/>
    <col width="16" customWidth="1" min="4" max="4"/>
    <col width="30" customWidth="1" min="5" max="5"/>
    <col width="11" customWidth="1" min="6" max="6"/>
    <col width="10" customWidth="1" min="7" max="7"/>
    <col width="12" customWidth="1" min="8" max="8"/>
    <col width="16" customWidth="1" min="9" max="9"/>
    <col width="10" customWidth="1" min="10" max="10"/>
    <col width="34" customWidth="1" min="11" max="11"/>
  </cols>
  <sheetData>
    <row r="1">
      <c r="A1" s="9" t="inlineStr">
        <is>
          <t>#</t>
        </is>
      </c>
      <c r="B1" s="9" t="inlineStr">
        <is>
          <t>Holding</t>
        </is>
      </c>
      <c r="C1" s="9" t="inlineStr">
        <is>
          <t>Ticker</t>
        </is>
      </c>
      <c r="D1" s="9" t="inlineStr">
        <is>
          <t>ISIN</t>
        </is>
      </c>
      <c r="E1" s="9" t="inlineStr">
        <is>
          <t>Sector</t>
        </is>
      </c>
      <c r="F1" s="9" t="inlineStr">
        <is>
          <t>Mkt-Cap</t>
        </is>
      </c>
      <c r="G1" s="9" t="inlineStr">
        <is>
          <t>Weight</t>
        </is>
      </c>
      <c r="H1" s="9" t="inlineStr">
        <is>
          <t>Ionic Score</t>
        </is>
      </c>
      <c r="I1" s="9" t="inlineStr">
        <is>
          <t>Recommendation</t>
        </is>
      </c>
      <c r="J1" s="9" t="inlineStr">
        <is>
          <t>Trim-to</t>
        </is>
      </c>
      <c r="K1" s="9" t="inlineStr">
        <is>
          <t>Rationale</t>
        </is>
      </c>
    </row>
    <row r="2">
      <c r="A2" s="20" t="n">
        <v>1</v>
      </c>
      <c r="B2" s="21" t="inlineStr">
        <is>
          <t>KPI Green Energy</t>
        </is>
      </c>
      <c r="C2" s="22" t="inlineStr">
        <is>
          <t>KPIGREEN</t>
        </is>
      </c>
      <c r="D2" s="22" t="inlineStr">
        <is>
          <t>—</t>
        </is>
      </c>
      <c r="E2" s="23" t="inlineStr">
        <is>
          <t>Power / Renewables</t>
        </is>
      </c>
      <c r="F2" s="20" t="inlineStr">
        <is>
          <t>Small-Mid</t>
        </is>
      </c>
      <c r="G2" s="12">
        <f>1/15</f>
        <v>0.06666666666666667</v>
      </c>
      <c r="H2" s="24" t="inlineStr">
        <is>
          <t>Pending scoring run</t>
        </is>
      </c>
      <c r="I2" s="24" t="inlineStr">
        <is>
          <t>Pending scoring run</t>
        </is>
      </c>
      <c r="J2" s="22" t="inlineStr">
        <is>
          <t>—</t>
        </is>
      </c>
      <c r="K2" s="25" t="inlineStr">
        <is>
          <t>Pending scoring run</t>
        </is>
      </c>
    </row>
    <row r="3">
      <c r="A3" s="20" t="n">
        <v>2</v>
      </c>
      <c r="B3" s="21" t="inlineStr">
        <is>
          <t>Infosys</t>
        </is>
      </c>
      <c r="C3" s="22" t="inlineStr">
        <is>
          <t>INFY</t>
        </is>
      </c>
      <c r="D3" s="22" t="inlineStr">
        <is>
          <t>—</t>
        </is>
      </c>
      <c r="E3" s="23" t="inlineStr">
        <is>
          <t>Information Technology</t>
        </is>
      </c>
      <c r="F3" s="20" t="inlineStr">
        <is>
          <t>Large</t>
        </is>
      </c>
      <c r="G3" s="12">
        <f>1/15</f>
        <v>0.06666666666666667</v>
      </c>
      <c r="H3" s="24" t="inlineStr">
        <is>
          <t>Pending scoring run</t>
        </is>
      </c>
      <c r="I3" s="24" t="inlineStr">
        <is>
          <t>Pending scoring run</t>
        </is>
      </c>
      <c r="J3" s="22" t="inlineStr">
        <is>
          <t>—</t>
        </is>
      </c>
      <c r="K3" s="25" t="inlineStr">
        <is>
          <t>Pending scoring run</t>
        </is>
      </c>
    </row>
    <row r="4">
      <c r="A4" s="20" t="n">
        <v>3</v>
      </c>
      <c r="B4" s="21" t="inlineStr">
        <is>
          <t>Reliance Industries</t>
        </is>
      </c>
      <c r="C4" s="22" t="inlineStr">
        <is>
          <t>RELIANCE</t>
        </is>
      </c>
      <c r="D4" s="22" t="inlineStr">
        <is>
          <t>—</t>
        </is>
      </c>
      <c r="E4" s="23" t="inlineStr">
        <is>
          <t>Oil, Gas &amp; Consumable Fuels</t>
        </is>
      </c>
      <c r="F4" s="20" t="inlineStr">
        <is>
          <t>Large</t>
        </is>
      </c>
      <c r="G4" s="12">
        <f>1/15</f>
        <v>0.06666666666666667</v>
      </c>
      <c r="H4" s="24" t="inlineStr">
        <is>
          <t>Pending scoring run</t>
        </is>
      </c>
      <c r="I4" s="24" t="inlineStr">
        <is>
          <t>Pending scoring run</t>
        </is>
      </c>
      <c r="J4" s="22" t="inlineStr">
        <is>
          <t>—</t>
        </is>
      </c>
      <c r="K4" s="25" t="inlineStr">
        <is>
          <t>Pending scoring run</t>
        </is>
      </c>
    </row>
    <row r="5">
      <c r="A5" s="20" t="n">
        <v>4</v>
      </c>
      <c r="B5" s="21" t="inlineStr">
        <is>
          <t>KPIT Technologies</t>
        </is>
      </c>
      <c r="C5" s="22" t="inlineStr">
        <is>
          <t>KPITTECH</t>
        </is>
      </c>
      <c r="D5" s="22" t="inlineStr">
        <is>
          <t>—</t>
        </is>
      </c>
      <c r="E5" s="23" t="inlineStr">
        <is>
          <t>Information Technology</t>
        </is>
      </c>
      <c r="F5" s="20" t="inlineStr">
        <is>
          <t>Mid</t>
        </is>
      </c>
      <c r="G5" s="12">
        <f>1/15</f>
        <v>0.06666666666666667</v>
      </c>
      <c r="H5" s="24" t="inlineStr">
        <is>
          <t>Pending scoring run</t>
        </is>
      </c>
      <c r="I5" s="24" t="inlineStr">
        <is>
          <t>Pending scoring run</t>
        </is>
      </c>
      <c r="J5" s="22" t="inlineStr">
        <is>
          <t>—</t>
        </is>
      </c>
      <c r="K5" s="25" t="inlineStr">
        <is>
          <t>Pending scoring run</t>
        </is>
      </c>
    </row>
    <row r="6">
      <c r="A6" s="20" t="n">
        <v>5</v>
      </c>
      <c r="B6" s="21" t="inlineStr">
        <is>
          <t>Jyoti Resins &amp; Adhesives</t>
        </is>
      </c>
      <c r="C6" s="22" t="inlineStr">
        <is>
          <t>JYOTIRES</t>
        </is>
      </c>
      <c r="D6" s="22" t="inlineStr">
        <is>
          <t>—</t>
        </is>
      </c>
      <c r="E6" s="23" t="inlineStr">
        <is>
          <t>Chemicals</t>
        </is>
      </c>
      <c r="F6" s="20" t="inlineStr">
        <is>
          <t>Small</t>
        </is>
      </c>
      <c r="G6" s="12">
        <f>1/15</f>
        <v>0.06666666666666667</v>
      </c>
      <c r="H6" s="24" t="inlineStr">
        <is>
          <t>Pending scoring run</t>
        </is>
      </c>
      <c r="I6" s="24" t="inlineStr">
        <is>
          <t>Pending scoring run</t>
        </is>
      </c>
      <c r="J6" s="22" t="inlineStr">
        <is>
          <t>—</t>
        </is>
      </c>
      <c r="K6" s="25" t="inlineStr">
        <is>
          <t>Pending scoring run</t>
        </is>
      </c>
    </row>
    <row r="7">
      <c r="A7" s="20" t="n">
        <v>6</v>
      </c>
      <c r="B7" s="21" t="inlineStr">
        <is>
          <t>Kalyan Jewellers India</t>
        </is>
      </c>
      <c r="C7" s="22" t="inlineStr">
        <is>
          <t>KALYANKJIL</t>
        </is>
      </c>
      <c r="D7" s="22" t="inlineStr">
        <is>
          <t>—</t>
        </is>
      </c>
      <c r="E7" s="23" t="inlineStr">
        <is>
          <t>Consumer Durables</t>
        </is>
      </c>
      <c r="F7" s="20" t="inlineStr">
        <is>
          <t>Large-Mid</t>
        </is>
      </c>
      <c r="G7" s="12">
        <f>1/15</f>
        <v>0.06666666666666667</v>
      </c>
      <c r="H7" s="24" t="inlineStr">
        <is>
          <t>Pending scoring run</t>
        </is>
      </c>
      <c r="I7" s="24" t="inlineStr">
        <is>
          <t>Pending scoring run</t>
        </is>
      </c>
      <c r="J7" s="22" t="inlineStr">
        <is>
          <t>—</t>
        </is>
      </c>
      <c r="K7" s="25" t="inlineStr">
        <is>
          <t>Pending scoring run</t>
        </is>
      </c>
    </row>
    <row r="8">
      <c r="A8" s="20" t="n">
        <v>7</v>
      </c>
      <c r="B8" s="21" t="inlineStr">
        <is>
          <t>Glenmark Pharmaceuticals</t>
        </is>
      </c>
      <c r="C8" s="22" t="inlineStr">
        <is>
          <t>GLENMARK</t>
        </is>
      </c>
      <c r="D8" s="22" t="inlineStr">
        <is>
          <t>—</t>
        </is>
      </c>
      <c r="E8" s="23" t="inlineStr">
        <is>
          <t>Pharmaceuticals &amp; Biotech</t>
        </is>
      </c>
      <c r="F8" s="20" t="inlineStr">
        <is>
          <t>Mid</t>
        </is>
      </c>
      <c r="G8" s="12">
        <f>1/15</f>
        <v>0.06666666666666667</v>
      </c>
      <c r="H8" s="24" t="inlineStr">
        <is>
          <t>Pending scoring run</t>
        </is>
      </c>
      <c r="I8" s="24" t="inlineStr">
        <is>
          <t>Pending scoring run</t>
        </is>
      </c>
      <c r="J8" s="22" t="inlineStr">
        <is>
          <t>—</t>
        </is>
      </c>
      <c r="K8" s="25" t="inlineStr">
        <is>
          <t>Pending scoring run</t>
        </is>
      </c>
    </row>
    <row r="9">
      <c r="A9" s="20" t="n">
        <v>8</v>
      </c>
      <c r="B9" s="21" t="inlineStr">
        <is>
          <t>Vodafone Idea</t>
        </is>
      </c>
      <c r="C9" s="22" t="inlineStr">
        <is>
          <t>IDEA</t>
        </is>
      </c>
      <c r="D9" s="22" t="inlineStr">
        <is>
          <t>—</t>
        </is>
      </c>
      <c r="E9" s="23" t="inlineStr">
        <is>
          <t>Telecommunication</t>
        </is>
      </c>
      <c r="F9" s="20" t="inlineStr">
        <is>
          <t>Mid</t>
        </is>
      </c>
      <c r="G9" s="12">
        <f>1/15</f>
        <v>0.06666666666666667</v>
      </c>
      <c r="H9" s="24" t="inlineStr">
        <is>
          <t>Pending scoring run</t>
        </is>
      </c>
      <c r="I9" s="24" t="inlineStr">
        <is>
          <t>Pending scoring run</t>
        </is>
      </c>
      <c r="J9" s="22" t="inlineStr">
        <is>
          <t>—</t>
        </is>
      </c>
      <c r="K9" s="25" t="inlineStr">
        <is>
          <t>Pending scoring run</t>
        </is>
      </c>
    </row>
    <row r="10">
      <c r="A10" s="20" t="n">
        <v>9</v>
      </c>
      <c r="B10" s="21" t="inlineStr">
        <is>
          <t>Anant Raj</t>
        </is>
      </c>
      <c r="C10" s="22" t="inlineStr">
        <is>
          <t>ANANTRAJ</t>
        </is>
      </c>
      <c r="D10" s="22" t="inlineStr">
        <is>
          <t>—</t>
        </is>
      </c>
      <c r="E10" s="23" t="inlineStr">
        <is>
          <t>Realty</t>
        </is>
      </c>
      <c r="F10" s="20" t="inlineStr">
        <is>
          <t>Mid</t>
        </is>
      </c>
      <c r="G10" s="12">
        <f>1/15</f>
        <v>0.06666666666666667</v>
      </c>
      <c r="H10" s="24" t="inlineStr">
        <is>
          <t>Pending scoring run</t>
        </is>
      </c>
      <c r="I10" s="24" t="inlineStr">
        <is>
          <t>Pending scoring run</t>
        </is>
      </c>
      <c r="J10" s="22" t="inlineStr">
        <is>
          <t>—</t>
        </is>
      </c>
      <c r="K10" s="25" t="inlineStr">
        <is>
          <t>Pending scoring run</t>
        </is>
      </c>
    </row>
    <row r="11">
      <c r="A11" s="20" t="n">
        <v>10</v>
      </c>
      <c r="B11" s="21" t="inlineStr">
        <is>
          <t>Godrej Industries</t>
        </is>
      </c>
      <c r="C11" s="22" t="inlineStr">
        <is>
          <t>GODREJIND</t>
        </is>
      </c>
      <c r="D11" s="22" t="inlineStr">
        <is>
          <t>—</t>
        </is>
      </c>
      <c r="E11" s="23" t="inlineStr">
        <is>
          <t>Diversified / Chemicals</t>
        </is>
      </c>
      <c r="F11" s="20" t="inlineStr">
        <is>
          <t>Large-Mid</t>
        </is>
      </c>
      <c r="G11" s="12">
        <f>1/15</f>
        <v>0.06666666666666667</v>
      </c>
      <c r="H11" s="24" t="inlineStr">
        <is>
          <t>Pending scoring run</t>
        </is>
      </c>
      <c r="I11" s="24" t="inlineStr">
        <is>
          <t>Pending scoring run</t>
        </is>
      </c>
      <c r="J11" s="22" t="inlineStr">
        <is>
          <t>—</t>
        </is>
      </c>
      <c r="K11" s="25" t="inlineStr">
        <is>
          <t>Pending scoring run</t>
        </is>
      </c>
    </row>
    <row r="12">
      <c r="A12" s="20" t="n">
        <v>11</v>
      </c>
      <c r="B12" s="21" t="inlineStr">
        <is>
          <t>Cupid</t>
        </is>
      </c>
      <c r="C12" s="22" t="inlineStr">
        <is>
          <t>CUPID</t>
        </is>
      </c>
      <c r="D12" s="22" t="inlineStr">
        <is>
          <t>—</t>
        </is>
      </c>
      <c r="E12" s="23" t="inlineStr">
        <is>
          <t>Healthcare (Medical Devices)</t>
        </is>
      </c>
      <c r="F12" s="20" t="inlineStr">
        <is>
          <t>Small</t>
        </is>
      </c>
      <c r="G12" s="12">
        <f>1/15</f>
        <v>0.06666666666666667</v>
      </c>
      <c r="H12" s="24" t="inlineStr">
        <is>
          <t>Pending scoring run</t>
        </is>
      </c>
      <c r="I12" s="24" t="inlineStr">
        <is>
          <t>Pending scoring run</t>
        </is>
      </c>
      <c r="J12" s="22" t="inlineStr">
        <is>
          <t>—</t>
        </is>
      </c>
      <c r="K12" s="25" t="inlineStr">
        <is>
          <t>Pending scoring run</t>
        </is>
      </c>
    </row>
    <row r="13">
      <c r="A13" s="26" t="n">
        <v>12</v>
      </c>
      <c r="B13" s="10" t="inlineStr">
        <is>
          <t>WhiteOak Capital Multi Asset Allocation Fund — Direct</t>
        </is>
      </c>
      <c r="C13" s="27" t="inlineStr">
        <is>
          <t>WhiteOak</t>
        </is>
      </c>
      <c r="D13" s="27" t="inlineStr">
        <is>
          <t>—</t>
        </is>
      </c>
      <c r="E13" s="6" t="inlineStr">
        <is>
          <t>Multi Asset Allocation (Hybrid)</t>
        </is>
      </c>
      <c r="F13" s="26" t="inlineStr">
        <is>
          <t>Fund</t>
        </is>
      </c>
      <c r="G13" s="28">
        <f>1/15</f>
        <v>0.06666666666666667</v>
      </c>
      <c r="H13" s="29" t="inlineStr">
        <is>
          <t>Pending scoring run</t>
        </is>
      </c>
      <c r="I13" s="29" t="inlineStr">
        <is>
          <t>Pending scoring run</t>
        </is>
      </c>
      <c r="J13" s="27" t="inlineStr">
        <is>
          <t>—</t>
        </is>
      </c>
      <c r="K13" s="30" t="inlineStr">
        <is>
          <t>Pending scoring run</t>
        </is>
      </c>
    </row>
    <row r="14">
      <c r="A14" s="26" t="n">
        <v>13</v>
      </c>
      <c r="B14" s="10" t="inlineStr">
        <is>
          <t>LIC MF Small Cap Fund — Regular</t>
        </is>
      </c>
      <c r="C14" s="27" t="inlineStr">
        <is>
          <t>LIC MF</t>
        </is>
      </c>
      <c r="D14" s="27" t="inlineStr">
        <is>
          <t>—</t>
        </is>
      </c>
      <c r="E14" s="6" t="inlineStr">
        <is>
          <t>Small Cap (Equity)</t>
        </is>
      </c>
      <c r="F14" s="26" t="inlineStr">
        <is>
          <t>Fund</t>
        </is>
      </c>
      <c r="G14" s="28">
        <f>1/15</f>
        <v>0.06666666666666667</v>
      </c>
      <c r="H14" s="29" t="inlineStr">
        <is>
          <t>Pending scoring run</t>
        </is>
      </c>
      <c r="I14" s="29" t="inlineStr">
        <is>
          <t>Pending scoring run</t>
        </is>
      </c>
      <c r="J14" s="27" t="inlineStr">
        <is>
          <t>—</t>
        </is>
      </c>
      <c r="K14" s="30" t="inlineStr">
        <is>
          <t>Pending scoring run</t>
        </is>
      </c>
    </row>
    <row r="15">
      <c r="A15" s="26" t="n">
        <v>14</v>
      </c>
      <c r="B15" s="10" t="inlineStr">
        <is>
          <t>Nippon India Small Cap Fund — Regular</t>
        </is>
      </c>
      <c r="C15" s="27" t="inlineStr">
        <is>
          <t>Nippon</t>
        </is>
      </c>
      <c r="D15" s="27" t="inlineStr">
        <is>
          <t>—</t>
        </is>
      </c>
      <c r="E15" s="6" t="inlineStr">
        <is>
          <t>Small Cap (Equity)</t>
        </is>
      </c>
      <c r="F15" s="26" t="inlineStr">
        <is>
          <t>Fund</t>
        </is>
      </c>
      <c r="G15" s="28">
        <f>1/15</f>
        <v>0.06666666666666667</v>
      </c>
      <c r="H15" s="29" t="inlineStr">
        <is>
          <t>Pending scoring run</t>
        </is>
      </c>
      <c r="I15" s="29" t="inlineStr">
        <is>
          <t>Pending scoring run</t>
        </is>
      </c>
      <c r="J15" s="27" t="inlineStr">
        <is>
          <t>—</t>
        </is>
      </c>
      <c r="K15" s="30" t="inlineStr">
        <is>
          <t>Pending scoring run</t>
        </is>
      </c>
    </row>
    <row r="16">
      <c r="A16" s="26" t="n">
        <v>15</v>
      </c>
      <c r="B16" s="10" t="inlineStr">
        <is>
          <t>HSBC Large Cap Fund — Regular</t>
        </is>
      </c>
      <c r="C16" s="27" t="inlineStr">
        <is>
          <t>HSBC</t>
        </is>
      </c>
      <c r="D16" s="27" t="inlineStr">
        <is>
          <t>—</t>
        </is>
      </c>
      <c r="E16" s="6" t="inlineStr">
        <is>
          <t>Large Cap (Equity)</t>
        </is>
      </c>
      <c r="F16" s="26" t="inlineStr">
        <is>
          <t>Fund</t>
        </is>
      </c>
      <c r="G16" s="28">
        <f>1/15</f>
        <v>0.06666666666666667</v>
      </c>
      <c r="H16" s="29" t="inlineStr">
        <is>
          <t>Pending scoring run</t>
        </is>
      </c>
      <c r="I16" s="29" t="inlineStr">
        <is>
          <t>Pending scoring run</t>
        </is>
      </c>
      <c r="J16" s="27" t="inlineStr">
        <is>
          <t>—</t>
        </is>
      </c>
      <c r="K16" s="30" t="inlineStr">
        <is>
          <t>Pending scoring run</t>
        </is>
      </c>
    </row>
    <row r="17">
      <c r="A17" s="17" t="inlineStr"/>
      <c r="B17" s="14" t="inlineStr">
        <is>
          <t>Total</t>
        </is>
      </c>
      <c r="C17" s="17" t="inlineStr"/>
      <c r="D17" s="17" t="inlineStr"/>
      <c r="E17" s="17" t="inlineStr"/>
      <c r="F17" s="17" t="inlineStr"/>
      <c r="G17" s="16">
        <f>SUM(G2:G16)</f>
        <v>1.0</v>
      </c>
      <c r="H17" s="17" t="inlineStr"/>
      <c r="I17" s="17" t="inlineStr"/>
      <c r="J17" s="17" t="inlineStr"/>
      <c r="K17" s="17" t="inlineStr"/>
    </row>
    <row r="19">
      <c r="B19" s="31" t="inlineStr">
        <is>
          <t>Legend</t>
        </is>
      </c>
    </row>
    <row r="20">
      <c r="B20" s="32" t="inlineStr">
        <is>
          <t>•  Weight — equal weight = 1/15 of the book per holding (live formula; total = 100%).</t>
        </is>
      </c>
    </row>
    <row r="21">
      <c r="B21" s="32" t="inlineStr">
        <is>
          <t>•  ISIN — left blank ( — ); to be filled by the RM from the NSDL CAS statement.</t>
        </is>
      </c>
    </row>
    <row r="22">
      <c r="B22" s="32" t="inlineStr">
        <is>
          <t>•  Mkt-Cap tier — [INFERENCE] from general knowledge; verify against a live data feed.</t>
        </is>
      </c>
    </row>
    <row r="23">
      <c r="B23" s="32" t="inlineStr">
        <is>
          <t>•  Ionic Score / Recommendation / Trim-to — pending a scorecard run; never fabricated.</t>
        </is>
      </c>
    </row>
    <row r="24">
      <c r="B24" s="32" t="inlineStr">
        <is>
          <t>•  When scored, vocabulary is Sell / Trim / Hold only (never Buy) — this reviews existing holdings.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2" customWidth="1" min="3" max="3"/>
    <col width="12" customWidth="1" min="4" max="4"/>
    <col width="2" customWidth="1" min="5" max="5"/>
  </cols>
  <sheetData>
    <row r="2">
      <c r="B2" s="33" t="inlineStr">
        <is>
          <t>Portfolio Composition (equal-weight basis)</t>
        </is>
      </c>
    </row>
    <row r="3">
      <c r="B3" s="32" t="inlineStr">
        <is>
          <t>Each holding = 1/15 = 6.67%. Sector is reference data; market-cap tier is [INFERENCE].</t>
        </is>
      </c>
    </row>
    <row r="5">
      <c r="B5" s="8" t="inlineStr">
        <is>
          <t>Equity by sector</t>
        </is>
      </c>
    </row>
    <row r="6">
      <c r="B6" s="9" t="inlineStr">
        <is>
          <t>Sector</t>
        </is>
      </c>
      <c r="C6" s="9" t="inlineStr">
        <is>
          <t># Stocks</t>
        </is>
      </c>
      <c r="D6" s="9" t="inlineStr">
        <is>
          <t>Weight</t>
        </is>
      </c>
    </row>
    <row r="7">
      <c r="B7" s="23" t="inlineStr">
        <is>
          <t>Information Technology</t>
        </is>
      </c>
      <c r="C7" s="11" t="n">
        <v>2</v>
      </c>
      <c r="D7" s="12">
        <f>C7/15</f>
        <v>0.13333333333333333</v>
      </c>
    </row>
    <row r="8">
      <c r="B8" s="23" t="inlineStr">
        <is>
          <t>Chemicals</t>
        </is>
      </c>
      <c r="C8" s="11" t="n">
        <v>1</v>
      </c>
      <c r="D8" s="12">
        <f>C8/15</f>
        <v>0.06666666666666667</v>
      </c>
    </row>
    <row r="9">
      <c r="B9" s="23" t="inlineStr">
        <is>
          <t>Consumer Durables</t>
        </is>
      </c>
      <c r="C9" s="11" t="n">
        <v>1</v>
      </c>
      <c r="D9" s="12">
        <f>C9/15</f>
        <v>0.06666666666666667</v>
      </c>
    </row>
    <row r="10">
      <c r="B10" s="23" t="inlineStr">
        <is>
          <t>Diversified / Chemicals</t>
        </is>
      </c>
      <c r="C10" s="11" t="n">
        <v>1</v>
      </c>
      <c r="D10" s="12">
        <f>C10/15</f>
        <v>0.06666666666666667</v>
      </c>
    </row>
    <row r="11">
      <c r="B11" s="23" t="inlineStr">
        <is>
          <t>Healthcare (Medical Devices)</t>
        </is>
      </c>
      <c r="C11" s="11" t="n">
        <v>1</v>
      </c>
      <c r="D11" s="12">
        <f>C11/15</f>
        <v>0.06666666666666667</v>
      </c>
    </row>
    <row r="12">
      <c r="B12" s="23" t="inlineStr">
        <is>
          <t>Oil, Gas &amp; Consumable Fuels</t>
        </is>
      </c>
      <c r="C12" s="11" t="n">
        <v>1</v>
      </c>
      <c r="D12" s="12">
        <f>C12/15</f>
        <v>0.06666666666666667</v>
      </c>
    </row>
    <row r="13">
      <c r="B13" s="23" t="inlineStr">
        <is>
          <t>Pharmaceuticals &amp; Biotech</t>
        </is>
      </c>
      <c r="C13" s="11" t="n">
        <v>1</v>
      </c>
      <c r="D13" s="12">
        <f>C13/15</f>
        <v>0.06666666666666667</v>
      </c>
    </row>
    <row r="14">
      <c r="B14" s="23" t="inlineStr">
        <is>
          <t>Power / Renewables</t>
        </is>
      </c>
      <c r="C14" s="11" t="n">
        <v>1</v>
      </c>
      <c r="D14" s="12">
        <f>C14/15</f>
        <v>0.06666666666666667</v>
      </c>
    </row>
    <row r="15">
      <c r="B15" s="23" t="inlineStr">
        <is>
          <t>Realty</t>
        </is>
      </c>
      <c r="C15" s="11" t="n">
        <v>1</v>
      </c>
      <c r="D15" s="12">
        <f>C15/15</f>
        <v>0.06666666666666667</v>
      </c>
    </row>
    <row r="16">
      <c r="B16" s="23" t="inlineStr">
        <is>
          <t>Telecommunication</t>
        </is>
      </c>
      <c r="C16" s="11" t="n">
        <v>1</v>
      </c>
      <c r="D16" s="12">
        <f>C16/15</f>
        <v>0.06666666666666667</v>
      </c>
    </row>
    <row r="17">
      <c r="B17" s="10" t="inlineStr">
        <is>
          <t>Mutual Funds (all schemes)</t>
        </is>
      </c>
      <c r="C17" s="34" t="n">
        <v>4</v>
      </c>
      <c r="D17" s="28">
        <f>C17/15</f>
        <v>0.26666666666666666</v>
      </c>
    </row>
    <row r="18">
      <c r="B18" s="14" t="inlineStr">
        <is>
          <t>Total</t>
        </is>
      </c>
      <c r="C18" s="15">
        <f>SUM(C7:C17)</f>
        <v>15.0</v>
      </c>
      <c r="D18" s="16">
        <f>SUM(D7:D17)</f>
        <v>1.0</v>
      </c>
    </row>
    <row r="21">
      <c r="B21" s="8" t="inlineStr">
        <is>
          <t>Equity by market-cap tier  [INFERENCE — verify]</t>
        </is>
      </c>
    </row>
    <row r="22">
      <c r="B22" s="9" t="inlineStr">
        <is>
          <t>Mkt-Cap tier</t>
        </is>
      </c>
      <c r="C22" s="9" t="inlineStr">
        <is>
          <t># Stocks</t>
        </is>
      </c>
      <c r="D22" s="9" t="inlineStr">
        <is>
          <t>Weight</t>
        </is>
      </c>
    </row>
    <row r="23">
      <c r="B23" s="23" t="inlineStr">
        <is>
          <t>Mid</t>
        </is>
      </c>
      <c r="C23" s="11" t="n">
        <v>4</v>
      </c>
      <c r="D23" s="12">
        <f>C23/15</f>
        <v>0.26666666666666666</v>
      </c>
    </row>
    <row r="24">
      <c r="B24" s="23" t="inlineStr">
        <is>
          <t>Large</t>
        </is>
      </c>
      <c r="C24" s="11" t="n">
        <v>2</v>
      </c>
      <c r="D24" s="12">
        <f>C24/15</f>
        <v>0.13333333333333333</v>
      </c>
    </row>
    <row r="25">
      <c r="B25" s="23" t="inlineStr">
        <is>
          <t>Large-Mid</t>
        </is>
      </c>
      <c r="C25" s="11" t="n">
        <v>2</v>
      </c>
      <c r="D25" s="12">
        <f>C25/15</f>
        <v>0.13333333333333333</v>
      </c>
    </row>
    <row r="26">
      <c r="B26" s="23" t="inlineStr">
        <is>
          <t>Small</t>
        </is>
      </c>
      <c r="C26" s="11" t="n">
        <v>2</v>
      </c>
      <c r="D26" s="12">
        <f>C26/15</f>
        <v>0.13333333333333333</v>
      </c>
    </row>
    <row r="27">
      <c r="B27" s="23" t="inlineStr">
        <is>
          <t>Small-Mid</t>
        </is>
      </c>
      <c r="C27" s="11" t="n">
        <v>1</v>
      </c>
      <c r="D27" s="12">
        <f>C27/15</f>
        <v>0.06666666666666667</v>
      </c>
    </row>
    <row r="28">
      <c r="B28" s="14" t="inlineStr">
        <is>
          <t>Total (equity)</t>
        </is>
      </c>
      <c r="C28" s="15">
        <f>SUM(C23:C27)</f>
        <v>11.0</v>
      </c>
      <c r="D28" s="16">
        <f>SUM(D23:D27)</f>
        <v>0.7333333333333333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2026-07-30T20:06:49Z</dcterms:created>
  <dcterms:modified xsi:type="dcterms:W3CDTF">2026-07-30T20:06:49Z</dcterms:modified>
</cp:coreProperties>
</file>