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quity Holdings" sheetId="2" state="visible" r:id="rId2"/>
    <sheet name="Mutual Funds" sheetId="3" state="visible" r:id="rId3"/>
    <sheet name="Sector Exposure" sheetId="4" state="visible" r:id="rId4"/>
    <sheet name="Assump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5">
    <font>
      <name val="Calibri"/>
      <family val="2"/>
      <color theme="1"/>
      <sz val="11"/>
      <scheme val="minor"/>
    </font>
    <font>
      <name val="Arial"/>
      <b val="1"/>
      <color rgb="0016233B"/>
      <sz val="16"/>
    </font>
    <font>
      <name val="Arial"/>
      <b val="1"/>
      <color rgb="001B27A3"/>
      <sz val="12"/>
    </font>
    <font>
      <name val="Arial"/>
      <b val="1"/>
      <color rgb="006B7280"/>
      <sz val="10"/>
    </font>
    <font>
      <name val="Arial"/>
      <b val="1"/>
      <color rgb="00000000"/>
      <sz val="11"/>
    </font>
    <font>
      <name val="Arial"/>
      <color rgb="00000000"/>
      <sz val="10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b val="1"/>
      <color rgb="00F2A93C"/>
      <sz val="10"/>
    </font>
    <font>
      <name val="Arial"/>
      <color rgb="00000000"/>
      <sz val="9"/>
    </font>
    <font>
      <name val="Arial"/>
      <b val="1"/>
      <color rgb="0016233B"/>
      <sz val="13"/>
    </font>
    <font>
      <name val="Arial"/>
      <i val="1"/>
      <color rgb="006B7280"/>
      <sz val="9"/>
    </font>
    <font>
      <name val="Arial"/>
      <i val="1"/>
      <color rgb="006B7280"/>
      <sz val="8"/>
    </font>
    <font>
      <name val="Arial"/>
      <b val="1"/>
      <color rgb="00000000"/>
      <sz val="9"/>
    </font>
    <font>
      <name val="Arial"/>
      <b val="1"/>
      <color rgb="001B27A3"/>
      <sz val="11"/>
    </font>
  </fonts>
  <fills count="6">
    <fill>
      <patternFill/>
    </fill>
    <fill>
      <patternFill patternType="gray125"/>
    </fill>
    <fill>
      <patternFill patternType="solid">
        <fgColor rgb="0016233B"/>
      </patternFill>
    </fill>
    <fill>
      <patternFill patternType="solid">
        <fgColor rgb="00F5F6FC"/>
      </patternFill>
    </fill>
    <fill>
      <patternFill patternType="solid">
        <fgColor rgb="00EEEFF7"/>
      </patternFill>
    </fill>
    <fill>
      <patternFill patternType="solid">
        <fgColor rgb="00FFF7E0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164" fontId="7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13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26" customWidth="1" min="3" max="3"/>
    <col width="26" customWidth="1" min="4" max="4"/>
    <col width="22" customWidth="1" min="5" max="5"/>
    <col width="18" customWidth="1" min="6" max="6"/>
  </cols>
  <sheetData>
    <row r="2">
      <c r="B2" s="1" t="inlineStr">
        <is>
          <t>IONIC WEALTH</t>
        </is>
      </c>
    </row>
    <row r="3">
      <c r="B3" s="2" t="inlineStr">
        <is>
          <t>Portfolio Snapshot — NDPMS Review</t>
        </is>
      </c>
    </row>
    <row r="5">
      <c r="B5" s="3" t="inlineStr">
        <is>
          <t>Client</t>
        </is>
      </c>
      <c r="C5" s="4" t="inlineStr">
        <is>
          <t>Shreyas Gupta</t>
        </is>
      </c>
    </row>
    <row r="6">
      <c r="B6" s="3" t="inlineStr">
        <is>
          <t>As of</t>
        </is>
      </c>
      <c r="C6" s="5" t="inlineStr">
        <is>
          <t>30 July 2026</t>
        </is>
      </c>
    </row>
    <row r="7">
      <c r="B7" s="3" t="inlineStr">
        <is>
          <t>Account type</t>
        </is>
      </c>
      <c r="C7" s="5" t="inlineStr">
        <is>
          <t>NDPMS (Non-Discretionary PMS)</t>
        </is>
      </c>
    </row>
    <row r="9">
      <c r="B9" s="6" t="inlineStr">
        <is>
          <t>PORTFOLIO STRUCTURE</t>
        </is>
      </c>
      <c r="C9" s="7" t="inlineStr"/>
      <c r="D9" s="7" t="inlineStr"/>
      <c r="E9" s="7" t="inlineStr"/>
      <c r="F9" s="7" t="inlineStr"/>
    </row>
    <row r="10">
      <c r="B10" s="8" t="inlineStr">
        <is>
          <t>Total holdings</t>
        </is>
      </c>
      <c r="C10" s="9">
        <f>COUNTA('Equity Holdings'!B7:B16)+COUNTA('Mutual Funds'!B7:B10)</f>
        <v/>
      </c>
    </row>
    <row r="11">
      <c r="B11" s="8" t="inlineStr">
        <is>
          <t>Stocks</t>
        </is>
      </c>
      <c r="C11" s="9">
        <f>COUNTA('Equity Holdings'!B7:B16)</f>
        <v/>
      </c>
    </row>
    <row r="12">
      <c r="B12" s="8" t="inlineStr">
        <is>
          <t>Mutual funds</t>
        </is>
      </c>
      <c r="C12" s="9">
        <f>COUNTA('Mutual Funds'!B7:B10)</f>
        <v/>
      </c>
    </row>
    <row r="13">
      <c r="B13" s="8" t="inlineStr">
        <is>
          <t>Weighting</t>
        </is>
      </c>
      <c r="C13" s="9" t="inlineStr">
        <is>
          <t>Equal weight (all holdings)</t>
        </is>
      </c>
    </row>
    <row r="15">
      <c r="B15" s="6" t="inlineStr">
        <is>
          <t>SLEEVE SPLIT</t>
        </is>
      </c>
      <c r="C15" s="7" t="inlineStr"/>
      <c r="D15" s="7" t="inlineStr"/>
    </row>
    <row r="16">
      <c r="B16" s="10" t="inlineStr">
        <is>
          <t>Sleeve</t>
        </is>
      </c>
      <c r="C16" s="11" t="inlineStr">
        <is>
          <t>Weight</t>
        </is>
      </c>
      <c r="D16" s="11" t="inlineStr">
        <is>
          <t>Holdings</t>
        </is>
      </c>
    </row>
    <row r="17">
      <c r="B17" s="9" t="inlineStr">
        <is>
          <t>Equity (direct stocks)</t>
        </is>
      </c>
      <c r="C17" s="12">
        <f>SUM('Equity Holdings'!D7:D16)</f>
        <v/>
      </c>
      <c r="D17" s="13">
        <f>COUNTA('Equity Holdings'!B7:B16)</f>
        <v/>
      </c>
    </row>
    <row r="18">
      <c r="B18" s="9" t="inlineStr">
        <is>
          <t>Mutual funds</t>
        </is>
      </c>
      <c r="C18" s="12">
        <f>SUM('Mutual Funds'!E7:E10)</f>
        <v/>
      </c>
      <c r="D18" s="13">
        <f>COUNTA('Mutual Funds'!B7:B10)</f>
        <v/>
      </c>
    </row>
    <row r="19">
      <c r="B19" s="14" t="inlineStr">
        <is>
          <t>Total</t>
        </is>
      </c>
      <c r="C19" s="15">
        <f>C17+C18</f>
        <v/>
      </c>
      <c r="D19" s="16">
        <f>D17+D18</f>
        <v/>
      </c>
    </row>
    <row r="21">
      <c r="B21" s="6" t="inlineStr">
        <is>
          <t>WATCH-OUTS (structure only)</t>
        </is>
      </c>
      <c r="C21" s="7" t="inlineStr"/>
      <c r="D21" s="7" t="inlineStr"/>
      <c r="E21" s="7" t="inlineStr"/>
      <c r="F21" s="7" t="inlineStr"/>
    </row>
    <row r="22" ht="26" customHeight="1">
      <c r="B22" s="17" t="inlineStr">
        <is>
          <t>•</t>
        </is>
      </c>
      <c r="C22" s="18" t="inlineStr">
        <is>
          <t>Two Small Cap funds held (LIC + Nippon) — category concentration in small-cap.</t>
        </is>
      </c>
    </row>
    <row r="23" ht="26" customHeight="1">
      <c r="B23" s="17" t="inlineStr">
        <is>
          <t>•</t>
        </is>
      </c>
      <c r="C23" s="18" t="inlineStr">
        <is>
          <t>IT sector doubled up (Infosys + KPIT Technologies) — see Sector Exposure sheet.</t>
        </is>
      </c>
    </row>
    <row r="24" ht="26" customHeight="1">
      <c r="B24" s="17" t="inlineStr">
        <is>
          <t>•</t>
        </is>
      </c>
      <c r="C24" s="18" t="inlineStr">
        <is>
          <t>LIC Small Cap is a Regular plan — cost-drag / switch-to-Direct candidate (confirm via fund framework).</t>
        </is>
      </c>
    </row>
    <row r="25" ht="26" customHeight="1">
      <c r="B25" s="17" t="inlineStr">
        <is>
          <t>•</t>
        </is>
      </c>
      <c r="C25" s="18" t="inlineStr">
        <is>
          <t>Scores &amp; recommendations NOT filled — require Scorecard-750 + QFRA run (see Assumptions).</t>
        </is>
      </c>
    </row>
  </sheetData>
  <mergeCells count="4">
    <mergeCell ref="C22:F22"/>
    <mergeCell ref="C24:F24"/>
    <mergeCell ref="C23:F23"/>
    <mergeCell ref="C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30" customWidth="1" min="3" max="3"/>
    <col width="11" customWidth="1" min="4" max="4"/>
    <col width="26" customWidth="1" min="5" max="5"/>
    <col width="14" customWidth="1" min="6" max="6"/>
    <col width="16" customWidth="1" min="7" max="7"/>
    <col width="22" customWidth="1" min="8" max="8"/>
  </cols>
  <sheetData>
    <row r="2">
      <c r="B2" s="19" t="inlineStr">
        <is>
          <t>EQUITY BOOK — Direct Stocks</t>
        </is>
      </c>
    </row>
    <row r="3">
      <c r="B3" s="20" t="inlineStr">
        <is>
          <t>Shreyas Gupta  ·  Equal weight  ·  as of 30 July 2026</t>
        </is>
      </c>
    </row>
    <row r="6" ht="30" customHeight="1">
      <c r="B6" s="10" t="inlineStr">
        <is>
          <t>Ticker</t>
        </is>
      </c>
      <c r="C6" s="10" t="inlineStr">
        <is>
          <t>Company</t>
        </is>
      </c>
      <c r="D6" s="10" t="inlineStr">
        <is>
          <t>Weight</t>
        </is>
      </c>
      <c r="E6" s="10" t="inlineStr">
        <is>
          <t>Sector</t>
        </is>
      </c>
      <c r="F6" s="10" t="inlineStr">
        <is>
          <t>Ionic Score</t>
        </is>
      </c>
      <c r="G6" s="10" t="inlineStr">
        <is>
          <t>Recommendation</t>
        </is>
      </c>
      <c r="H6" s="10" t="inlineStr">
        <is>
          <t>Trim-to / Notes</t>
        </is>
      </c>
    </row>
    <row r="7">
      <c r="B7" s="21" t="inlineStr">
        <is>
          <t>KPI GREEN</t>
        </is>
      </c>
      <c r="C7" s="22" t="inlineStr">
        <is>
          <t>KPI Green Energy Ltd</t>
        </is>
      </c>
      <c r="D7" s="12">
        <f>1/Summary!$C$10</f>
        <v/>
      </c>
      <c r="E7" s="22" t="inlineStr">
        <is>
          <t>Power / Renewable Energy</t>
        </is>
      </c>
      <c r="F7" s="23" t="inlineStr"/>
      <c r="G7" s="23" t="inlineStr"/>
      <c r="H7" s="24" t="inlineStr"/>
    </row>
    <row r="8">
      <c r="B8" s="21" t="inlineStr">
        <is>
          <t>INFOSYS</t>
        </is>
      </c>
      <c r="C8" s="22" t="inlineStr">
        <is>
          <t>Infosys Ltd</t>
        </is>
      </c>
      <c r="D8" s="12">
        <f>1/Summary!$C$10</f>
        <v/>
      </c>
      <c r="E8" s="22" t="inlineStr">
        <is>
          <t>Information Technology</t>
        </is>
      </c>
      <c r="F8" s="23" t="inlineStr"/>
      <c r="G8" s="23" t="inlineStr"/>
      <c r="H8" s="24" t="inlineStr"/>
    </row>
    <row r="9">
      <c r="B9" s="21" t="inlineStr">
        <is>
          <t>RELIANCE</t>
        </is>
      </c>
      <c r="C9" s="22" t="inlineStr">
        <is>
          <t>Reliance Industries Ltd</t>
        </is>
      </c>
      <c r="D9" s="12">
        <f>1/Summary!$C$10</f>
        <v/>
      </c>
      <c r="E9" s="22" t="inlineStr">
        <is>
          <t>Oil, Gas &amp; Consumable Fuels</t>
        </is>
      </c>
      <c r="F9" s="23" t="inlineStr"/>
      <c r="G9" s="23" t="inlineStr"/>
      <c r="H9" s="24" t="inlineStr"/>
    </row>
    <row r="10">
      <c r="B10" s="21" t="inlineStr">
        <is>
          <t>KPIT TECH</t>
        </is>
      </c>
      <c r="C10" s="22" t="inlineStr">
        <is>
          <t>KPIT Technologies Ltd</t>
        </is>
      </c>
      <c r="D10" s="12">
        <f>1/Summary!$C$10</f>
        <v/>
      </c>
      <c r="E10" s="22" t="inlineStr">
        <is>
          <t>Information Technology</t>
        </is>
      </c>
      <c r="F10" s="23" t="inlineStr"/>
      <c r="G10" s="23" t="inlineStr"/>
      <c r="H10" s="24" t="inlineStr"/>
    </row>
    <row r="11">
      <c r="B11" s="21" t="inlineStr">
        <is>
          <t>JYOTI RESINS</t>
        </is>
      </c>
      <c r="C11" s="22" t="inlineStr">
        <is>
          <t>Jyoti Resins &amp; Adhesives Ltd</t>
        </is>
      </c>
      <c r="D11" s="12">
        <f>1/Summary!$C$10</f>
        <v/>
      </c>
      <c r="E11" s="22" t="inlineStr">
        <is>
          <t>Chemicals</t>
        </is>
      </c>
      <c r="F11" s="23" t="inlineStr"/>
      <c r="G11" s="23" t="inlineStr"/>
      <c r="H11" s="24" t="inlineStr"/>
    </row>
    <row r="12">
      <c r="B12" s="21" t="inlineStr">
        <is>
          <t>KALYAN JEWEL</t>
        </is>
      </c>
      <c r="C12" s="22" t="inlineStr">
        <is>
          <t>Kalyan Jewellers India Ltd</t>
        </is>
      </c>
      <c r="D12" s="12">
        <f>1/Summary!$C$10</f>
        <v/>
      </c>
      <c r="E12" s="22" t="inlineStr">
        <is>
          <t>Consumer Durables</t>
        </is>
      </c>
      <c r="F12" s="23" t="inlineStr"/>
      <c r="G12" s="23" t="inlineStr"/>
      <c r="H12" s="24" t="inlineStr"/>
    </row>
    <row r="13">
      <c r="B13" s="21" t="inlineStr">
        <is>
          <t>GLENMARK</t>
        </is>
      </c>
      <c r="C13" s="22" t="inlineStr">
        <is>
          <t>Glenmark Pharmaceuticals Ltd</t>
        </is>
      </c>
      <c r="D13" s="12">
        <f>1/Summary!$C$10</f>
        <v/>
      </c>
      <c r="E13" s="22" t="inlineStr">
        <is>
          <t>Pharma &amp; Healthcare</t>
        </is>
      </c>
      <c r="F13" s="23" t="inlineStr"/>
      <c r="G13" s="23" t="inlineStr"/>
      <c r="H13" s="24" t="inlineStr"/>
    </row>
    <row r="14">
      <c r="B14" s="21" t="inlineStr">
        <is>
          <t>VODAFONE IDEA</t>
        </is>
      </c>
      <c r="C14" s="22" t="inlineStr">
        <is>
          <t>Vodafone Idea Ltd</t>
        </is>
      </c>
      <c r="D14" s="12">
        <f>1/Summary!$C$10</f>
        <v/>
      </c>
      <c r="E14" s="22" t="inlineStr">
        <is>
          <t>Telecommunication</t>
        </is>
      </c>
      <c r="F14" s="23" t="inlineStr"/>
      <c r="G14" s="23" t="inlineStr"/>
      <c r="H14" s="24" t="inlineStr"/>
    </row>
    <row r="15">
      <c r="B15" s="21" t="inlineStr">
        <is>
          <t>ANANT RAJ</t>
        </is>
      </c>
      <c r="C15" s="22" t="inlineStr">
        <is>
          <t>Anant Raj Ltd</t>
        </is>
      </c>
      <c r="D15" s="12">
        <f>1/Summary!$C$10</f>
        <v/>
      </c>
      <c r="E15" s="22" t="inlineStr">
        <is>
          <t>Realty</t>
        </is>
      </c>
      <c r="F15" s="23" t="inlineStr"/>
      <c r="G15" s="23" t="inlineStr"/>
      <c r="H15" s="24" t="inlineStr"/>
    </row>
    <row r="16">
      <c r="B16" s="21" t="inlineStr">
        <is>
          <t>GODREJ IND</t>
        </is>
      </c>
      <c r="C16" s="22" t="inlineStr">
        <is>
          <t>Godrej Industries Ltd</t>
        </is>
      </c>
      <c r="D16" s="12">
        <f>1/Summary!$C$10</f>
        <v/>
      </c>
      <c r="E16" s="22" t="inlineStr">
        <is>
          <t>Diversified / Chemicals</t>
        </is>
      </c>
      <c r="F16" s="23" t="inlineStr"/>
      <c r="G16" s="23" t="inlineStr"/>
      <c r="H16" s="24" t="inlineStr"/>
    </row>
    <row r="17">
      <c r="B17" s="14" t="inlineStr">
        <is>
          <t>TOTAL</t>
        </is>
      </c>
      <c r="C17" s="25">
        <f>COUNTA(B7:B16)&amp;" stocks"</f>
        <v/>
      </c>
      <c r="D17" s="15">
        <f>SUM(D7:D16)</f>
        <v/>
      </c>
      <c r="E17" s="26" t="inlineStr"/>
      <c r="F17" s="26" t="inlineStr"/>
      <c r="G17" s="26" t="inlineStr"/>
      <c r="H17" s="26" t="inlineStr"/>
    </row>
    <row r="19">
      <c r="F19" s="27" t="inlineStr">
        <is>
          <t>Yellow cells: filled by the Scorecard-750 run.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1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0" customWidth="1" min="2" max="2"/>
    <col width="18" customWidth="1" min="3" max="3"/>
    <col width="20" customWidth="1" min="4" max="4"/>
    <col width="11" customWidth="1" min="5" max="5"/>
    <col width="12" customWidth="1" min="6" max="6"/>
    <col width="16" customWidth="1" min="7" max="7"/>
    <col width="22" customWidth="1" min="8" max="8"/>
  </cols>
  <sheetData>
    <row r="2">
      <c r="B2" s="19" t="inlineStr">
        <is>
          <t>FUND BOOK — Mutual Funds</t>
        </is>
      </c>
    </row>
    <row r="3">
      <c r="B3" s="20" t="inlineStr">
        <is>
          <t>Shreyas Gupta  ·  Equal weight  ·  as of 30 July 2026</t>
        </is>
      </c>
    </row>
    <row r="6" ht="30" customHeight="1">
      <c r="B6" s="10" t="inlineStr">
        <is>
          <t>Scheme</t>
        </is>
      </c>
      <c r="C6" s="10" t="inlineStr">
        <is>
          <t>AMC</t>
        </is>
      </c>
      <c r="D6" s="10" t="inlineStr">
        <is>
          <t>Category</t>
        </is>
      </c>
      <c r="E6" s="10" t="inlineStr">
        <is>
          <t>Weight</t>
        </is>
      </c>
      <c r="F6" s="10" t="inlineStr">
        <is>
          <t>Plan</t>
        </is>
      </c>
      <c r="G6" s="10" t="inlineStr">
        <is>
          <t>Fund Score /100</t>
        </is>
      </c>
      <c r="H6" s="10" t="inlineStr">
        <is>
          <t>Verdict / Notes</t>
        </is>
      </c>
    </row>
    <row r="7" ht="24" customHeight="1">
      <c r="B7" s="28" t="inlineStr">
        <is>
          <t>WhiteOak Capital Multi Asset Allocation Fund</t>
        </is>
      </c>
      <c r="C7" s="22" t="inlineStr">
        <is>
          <t>WhiteOak Capital</t>
        </is>
      </c>
      <c r="D7" s="22" t="inlineStr">
        <is>
          <t>Multi Asset Allocation</t>
        </is>
      </c>
      <c r="E7" s="12">
        <f>1/Summary!$C$10</f>
        <v/>
      </c>
      <c r="F7" s="29" t="inlineStr">
        <is>
          <t>Direct</t>
        </is>
      </c>
      <c r="G7" s="23" t="inlineStr"/>
      <c r="H7" s="24" t="inlineStr"/>
    </row>
    <row r="8" ht="24" customHeight="1">
      <c r="B8" s="28" t="inlineStr">
        <is>
          <t>LIC MF Small Cap Fund</t>
        </is>
      </c>
      <c r="C8" s="22" t="inlineStr">
        <is>
          <t>LIC Mutual Fund</t>
        </is>
      </c>
      <c r="D8" s="22" t="inlineStr">
        <is>
          <t>Small Cap</t>
        </is>
      </c>
      <c r="E8" s="12">
        <f>1/Summary!$C$10</f>
        <v/>
      </c>
      <c r="F8" s="29" t="inlineStr">
        <is>
          <t>Regular</t>
        </is>
      </c>
      <c r="G8" s="23" t="inlineStr"/>
      <c r="H8" s="24" t="inlineStr"/>
    </row>
    <row r="9" ht="24" customHeight="1">
      <c r="B9" s="28" t="inlineStr">
        <is>
          <t>Nippon India Small Cap Fund</t>
        </is>
      </c>
      <c r="C9" s="22" t="inlineStr">
        <is>
          <t>Nippon India</t>
        </is>
      </c>
      <c r="D9" s="22" t="inlineStr">
        <is>
          <t>Small Cap</t>
        </is>
      </c>
      <c r="E9" s="12">
        <f>1/Summary!$C$10</f>
        <v/>
      </c>
      <c r="F9" s="29" t="inlineStr">
        <is>
          <t>Not stated</t>
        </is>
      </c>
      <c r="G9" s="23" t="inlineStr"/>
      <c r="H9" s="24" t="inlineStr"/>
    </row>
    <row r="10" ht="24" customHeight="1">
      <c r="B10" s="28" t="inlineStr">
        <is>
          <t>HSBC Large Cap Fund</t>
        </is>
      </c>
      <c r="C10" s="22" t="inlineStr">
        <is>
          <t>HSBC Mutual Fund</t>
        </is>
      </c>
      <c r="D10" s="22" t="inlineStr">
        <is>
          <t>Large Cap</t>
        </is>
      </c>
      <c r="E10" s="12">
        <f>1/Summary!$C$10</f>
        <v/>
      </c>
      <c r="F10" s="29" t="inlineStr">
        <is>
          <t>Not stated</t>
        </is>
      </c>
      <c r="G10" s="23" t="inlineStr"/>
      <c r="H10" s="24" t="inlineStr"/>
    </row>
    <row r="11">
      <c r="B11" s="14" t="inlineStr">
        <is>
          <t>TOTAL</t>
        </is>
      </c>
      <c r="C11" s="25">
        <f>COUNTA(B7:B10)&amp;" funds"</f>
        <v/>
      </c>
      <c r="D11" s="26" t="inlineStr"/>
      <c r="E11" s="15">
        <f>SUM(E7:E10)</f>
        <v/>
      </c>
      <c r="F11" s="26" t="inlineStr"/>
      <c r="G11" s="26" t="inlineStr"/>
      <c r="H11" s="26" t="inlineStr"/>
    </row>
    <row r="13">
      <c r="B13" s="27" t="inlineStr">
        <is>
          <t>Verdict rule: a fund Sell ships only when BOTH fund frameworks agree (else Hold).</t>
        </is>
      </c>
    </row>
    <row r="14">
      <c r="B14" s="27" t="inlineStr">
        <is>
          <t>Yellow cells: filled by the fund-quality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D1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4" customWidth="1" min="3" max="3"/>
    <col width="12" customWidth="1" min="4" max="4"/>
  </cols>
  <sheetData>
    <row r="2">
      <c r="B2" s="19" t="inlineStr">
        <is>
          <t>SECTOR EXPOSURE — Equity Sleeve</t>
        </is>
      </c>
    </row>
    <row r="3">
      <c r="B3" s="20" t="inlineStr">
        <is>
          <t>Direct stocks only, by weight</t>
        </is>
      </c>
    </row>
    <row r="6">
      <c r="B6" s="10" t="inlineStr">
        <is>
          <t>Sector</t>
        </is>
      </c>
      <c r="C6" s="11" t="inlineStr">
        <is>
          <t>Weight</t>
        </is>
      </c>
      <c r="D6" s="11" t="inlineStr">
        <is>
          <t>Count</t>
        </is>
      </c>
    </row>
    <row r="7">
      <c r="B7" s="22" t="inlineStr">
        <is>
          <t>Power / Renewable Energy</t>
        </is>
      </c>
      <c r="C7" s="12">
        <f>SUMIF('Equity Holdings'!$E$7:$E$16,B7,'Equity Holdings'!$D$7:$D$16)</f>
        <v/>
      </c>
      <c r="D7" s="13">
        <f>COUNTIF('Equity Holdings'!$E$7:$E$16,B7)</f>
        <v/>
      </c>
    </row>
    <row r="8">
      <c r="B8" s="22" t="inlineStr">
        <is>
          <t>Information Technology</t>
        </is>
      </c>
      <c r="C8" s="12">
        <f>SUMIF('Equity Holdings'!$E$7:$E$16,B8,'Equity Holdings'!$D$7:$D$16)</f>
        <v/>
      </c>
      <c r="D8" s="13">
        <f>COUNTIF('Equity Holdings'!$E$7:$E$16,B8)</f>
        <v/>
      </c>
    </row>
    <row r="9">
      <c r="B9" s="22" t="inlineStr">
        <is>
          <t>Oil, Gas &amp; Consumable Fuels</t>
        </is>
      </c>
      <c r="C9" s="12">
        <f>SUMIF('Equity Holdings'!$E$7:$E$16,B9,'Equity Holdings'!$D$7:$D$16)</f>
        <v/>
      </c>
      <c r="D9" s="13">
        <f>COUNTIF('Equity Holdings'!$E$7:$E$16,B9)</f>
        <v/>
      </c>
    </row>
    <row r="10">
      <c r="B10" s="22" t="inlineStr">
        <is>
          <t>Chemicals</t>
        </is>
      </c>
      <c r="C10" s="12">
        <f>SUMIF('Equity Holdings'!$E$7:$E$16,B10,'Equity Holdings'!$D$7:$D$16)</f>
        <v/>
      </c>
      <c r="D10" s="13">
        <f>COUNTIF('Equity Holdings'!$E$7:$E$16,B10)</f>
        <v/>
      </c>
    </row>
    <row r="11">
      <c r="B11" s="22" t="inlineStr">
        <is>
          <t>Consumer Durables</t>
        </is>
      </c>
      <c r="C11" s="12">
        <f>SUMIF('Equity Holdings'!$E$7:$E$16,B11,'Equity Holdings'!$D$7:$D$16)</f>
        <v/>
      </c>
      <c r="D11" s="13">
        <f>COUNTIF('Equity Holdings'!$E$7:$E$16,B11)</f>
        <v/>
      </c>
    </row>
    <row r="12">
      <c r="B12" s="22" t="inlineStr">
        <is>
          <t>Pharma &amp; Healthcare</t>
        </is>
      </c>
      <c r="C12" s="12">
        <f>SUMIF('Equity Holdings'!$E$7:$E$16,B12,'Equity Holdings'!$D$7:$D$16)</f>
        <v/>
      </c>
      <c r="D12" s="13">
        <f>COUNTIF('Equity Holdings'!$E$7:$E$16,B12)</f>
        <v/>
      </c>
    </row>
    <row r="13">
      <c r="B13" s="22" t="inlineStr">
        <is>
          <t>Telecommunication</t>
        </is>
      </c>
      <c r="C13" s="12">
        <f>SUMIF('Equity Holdings'!$E$7:$E$16,B13,'Equity Holdings'!$D$7:$D$16)</f>
        <v/>
      </c>
      <c r="D13" s="13">
        <f>COUNTIF('Equity Holdings'!$E$7:$E$16,B13)</f>
        <v/>
      </c>
    </row>
    <row r="14">
      <c r="B14" s="22" t="inlineStr">
        <is>
          <t>Realty</t>
        </is>
      </c>
      <c r="C14" s="12">
        <f>SUMIF('Equity Holdings'!$E$7:$E$16,B14,'Equity Holdings'!$D$7:$D$16)</f>
        <v/>
      </c>
      <c r="D14" s="13">
        <f>COUNTIF('Equity Holdings'!$E$7:$E$16,B14)</f>
        <v/>
      </c>
    </row>
    <row r="15">
      <c r="B15" s="22" t="inlineStr">
        <is>
          <t>Diversified / Chemicals</t>
        </is>
      </c>
      <c r="C15" s="12">
        <f>SUMIF('Equity Holdings'!$E$7:$E$16,B15,'Equity Holdings'!$D$7:$D$16)</f>
        <v/>
      </c>
      <c r="D15" s="13">
        <f>COUNTIF('Equity Holdings'!$E$7:$E$16,B15)</f>
        <v/>
      </c>
    </row>
    <row r="16">
      <c r="B16" s="14" t="inlineStr">
        <is>
          <t>Equity total</t>
        </is>
      </c>
      <c r="C16" s="15">
        <f>SUM(C7:C15)</f>
        <v/>
      </c>
      <c r="D16" s="16">
        <f>SUM(D7:D15)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B2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00" customWidth="1" min="2" max="2"/>
  </cols>
  <sheetData>
    <row r="2">
      <c r="B2" s="19" t="inlineStr">
        <is>
          <t>ASSUMPTIONS &amp; DATA STATUS</t>
        </is>
      </c>
    </row>
    <row r="4">
      <c r="B4" s="30" t="inlineStr">
        <is>
          <t>Portfolio composition</t>
        </is>
      </c>
    </row>
    <row r="5">
      <c r="B5" s="31" t="inlineStr">
        <is>
          <t>Client: Shreyas Gupta.  As-of date: 30 July 2026.  Account: NDPMS.</t>
        </is>
      </c>
    </row>
    <row r="6">
      <c r="B6" s="31" t="inlineStr">
        <is>
          <t>You asked for '15 stocks / 12 stocks' but named 10 distinct companies (after merging</t>
        </is>
      </c>
    </row>
    <row r="7">
      <c r="B7" s="31" t="inlineStr">
        <is>
          <t xml:space="preserve">     RELIANCE and 'RELIANCE INDUSTRIES' into one holding — they are the same company).</t>
        </is>
      </c>
    </row>
    <row r="8">
      <c r="B8" s="31" t="inlineStr">
        <is>
          <t xml:space="preserve">     This file is built with those 10 real stocks. To reach 15, add the missing names and</t>
        </is>
      </c>
    </row>
    <row r="9">
      <c r="B9" s="31" t="inlineStr">
        <is>
          <t xml:space="preserve">     the equal weights will re-balance automatically (weight = 1 / total-holdings count).</t>
        </is>
      </c>
    </row>
    <row r="10">
      <c r="B10" s="31" t="inlineStr">
        <is>
          <t>4 mutual funds included exactly as named.</t>
        </is>
      </c>
    </row>
    <row r="11">
      <c r="B11" s="30" t="inlineStr">
        <is>
          <t>Weighting</t>
        </is>
      </c>
    </row>
    <row r="12">
      <c r="B12" s="31" t="inlineStr">
        <is>
          <t>'All equal weight' read as equal weight across ALL holdings: each = 1 / total holdings.</t>
        </is>
      </c>
    </row>
    <row r="13">
      <c r="B13" s="31" t="inlineStr">
        <is>
          <t xml:space="preserve">     With 10 stocks + 4 funds = 14 holdings, each holding = 7.14%; equity sleeve 71.4%,</t>
        </is>
      </c>
    </row>
    <row r="14">
      <c r="B14" s="31" t="inlineStr">
        <is>
          <t xml:space="preserve">     fund sleeve 28.6%. Change the split by editing weights or adding/removing rows.</t>
        </is>
      </c>
    </row>
    <row r="15">
      <c r="B15" s="31" t="inlineStr">
        <is>
          <t>No total portfolio value (rupee amount) was provided, so the file is in % weights only.</t>
        </is>
      </c>
    </row>
    <row r="16">
      <c r="B16" s="31" t="inlineStr">
        <is>
          <t xml:space="preserve">     Give me a total corpus and I will add rupee value columns per holding.</t>
        </is>
      </c>
    </row>
    <row r="17">
      <c r="B17" s="30" t="inlineStr">
        <is>
          <t>What is NOT in this file (and why)</t>
        </is>
      </c>
    </row>
    <row r="18">
      <c r="B18" s="31" t="inlineStr">
        <is>
          <t>Ionic Scores, Buy/Sell/Hold/Trim recommendations, and fund quality verdicts are BLANK.</t>
        </is>
      </c>
    </row>
    <row r="19">
      <c r="B19" s="31" t="inlineStr">
        <is>
          <t xml:space="preserve">     These are outputs of the Stock Scorecard 750 (quant + analyst research) and the fund</t>
        </is>
      </c>
    </row>
    <row r="20">
      <c r="B20" s="31" t="inlineStr">
        <is>
          <t xml:space="preserve">     quality frameworks. That pipeline needs market data + a research pass that has not been</t>
        </is>
      </c>
    </row>
    <row r="21">
      <c r="B21" s="31" t="inlineStr">
        <is>
          <t xml:space="preserve">     run here. Per firm rule, we never fabricate scores or calls — the yellow cells are</t>
        </is>
      </c>
    </row>
    <row r="22">
      <c r="B22" s="31" t="inlineStr">
        <is>
          <t xml:space="preserve">     placeholders for that run. Once scored, they drop straight into the yellow columns.</t>
        </is>
      </c>
    </row>
    <row r="23">
      <c r="B23" s="30" t="inlineStr">
        <is>
          <t>Sector classifications</t>
        </is>
      </c>
    </row>
    <row r="24">
      <c r="B24" s="31" t="inlineStr">
        <is>
          <t>Sectors are standard market classifications for each company (e.g. Glenmark = Pharma,</t>
        </is>
      </c>
    </row>
    <row r="25">
      <c r="B25" s="31" t="inlineStr">
        <is>
          <t xml:space="preserve">     Anant Raj = Realty, Vodafone Idea = Telecom). Verify against your data feed if needed.</t>
        </is>
      </c>
    </row>
    <row r="26">
      <c r="B26" s="30" t="inlineStr">
        <is>
          <t>Structural flags surfaced</t>
        </is>
      </c>
    </row>
    <row r="27">
      <c r="B27" s="31" t="inlineStr">
        <is>
          <t>Two Small Cap funds (LIC + Nippon) = small-cap category concentration to review.</t>
        </is>
      </c>
    </row>
    <row r="28">
      <c r="B28" s="31" t="inlineStr">
        <is>
          <t>IT appears twice (Infosys + KPIT) = sector doubling in the equity sleeve.</t>
        </is>
      </c>
    </row>
    <row r="29">
      <c r="B29" s="31" t="inlineStr">
        <is>
          <t>LIC Small Cap held in Regular plan = higher cost; Direct-plan switch is a common review item.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2026-07-30T19:01:33Z</dcterms:created>
  <dcterms:modified xsi:type="dcterms:W3CDTF">2026-07-30T19:01:33Z</dcterms:modified>
</cp:coreProperties>
</file>